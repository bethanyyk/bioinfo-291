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licewang/Desktop/Dog/Sci Reports/DRYAD/"/>
    </mc:Choice>
  </mc:AlternateContent>
  <xr:revisionPtr revIDLastSave="0" documentId="13_ncr:1_{5F5DCCAC-E8D7-184C-93FB-8C0E7CCE2AE5}" xr6:coauthVersionLast="47" xr6:coauthVersionMax="47" xr10:uidLastSave="{00000000-0000-0000-0000-000000000000}"/>
  <bookViews>
    <workbookView xWindow="5900" yWindow="500" windowWidth="20240" windowHeight="16520" xr2:uid="{00000000-000D-0000-FFFF-FFFF00000000}"/>
  </bookViews>
  <sheets>
    <sheet name="specificorders" sheetId="1" r:id="rId1"/>
    <sheet name="emotionalpairings" sheetId="2" r:id="rId2"/>
    <sheet name="al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M2" i="2"/>
  <c r="N3" i="2"/>
  <c r="M4" i="2"/>
  <c r="M3" i="2"/>
  <c r="Z44" i="2"/>
  <c r="Y44" i="2"/>
  <c r="T44" i="2"/>
  <c r="S44" i="2"/>
  <c r="N44" i="2"/>
  <c r="M44" i="2"/>
  <c r="Z43" i="2"/>
  <c r="Y43" i="2"/>
  <c r="T43" i="2"/>
  <c r="S43" i="2"/>
  <c r="N43" i="2"/>
  <c r="M43" i="2"/>
  <c r="Z42" i="2"/>
  <c r="Y42" i="2"/>
  <c r="T42" i="2"/>
  <c r="S42" i="2"/>
  <c r="N42" i="2"/>
  <c r="M42" i="2"/>
  <c r="Z41" i="2"/>
  <c r="Y41" i="2"/>
  <c r="T41" i="2"/>
  <c r="S41" i="2"/>
  <c r="N41" i="2"/>
  <c r="M41" i="2"/>
  <c r="Z40" i="2"/>
  <c r="Y40" i="2"/>
  <c r="Z39" i="2"/>
  <c r="Y39" i="2"/>
  <c r="T39" i="2"/>
  <c r="S39" i="2"/>
  <c r="N39" i="2"/>
  <c r="M39" i="2"/>
  <c r="Z38" i="2"/>
  <c r="Y38" i="2"/>
  <c r="T38" i="2"/>
  <c r="S38" i="2"/>
  <c r="N38" i="2"/>
  <c r="M38" i="2"/>
  <c r="Z37" i="2"/>
  <c r="Y37" i="2"/>
  <c r="T37" i="2"/>
  <c r="S37" i="2"/>
  <c r="N37" i="2"/>
  <c r="M37" i="2"/>
  <c r="Z36" i="2"/>
  <c r="Y36" i="2"/>
  <c r="T36" i="2"/>
  <c r="S36" i="2"/>
  <c r="N36" i="2"/>
  <c r="M36" i="2"/>
  <c r="T35" i="2"/>
  <c r="S35" i="2"/>
  <c r="N35" i="2"/>
  <c r="M35" i="2"/>
  <c r="Z34" i="2"/>
  <c r="Y34" i="2"/>
  <c r="T34" i="2"/>
  <c r="S34" i="2"/>
  <c r="N34" i="2"/>
  <c r="M34" i="2"/>
  <c r="Z33" i="2"/>
  <c r="Y33" i="2"/>
  <c r="T33" i="2"/>
  <c r="S33" i="2"/>
  <c r="N33" i="2"/>
  <c r="M33" i="2"/>
  <c r="Z32" i="2"/>
  <c r="Y32" i="2"/>
  <c r="N32" i="2"/>
  <c r="M32" i="2"/>
  <c r="Z31" i="2"/>
  <c r="Y31" i="2"/>
  <c r="T31" i="2"/>
  <c r="S31" i="2"/>
  <c r="N31" i="2"/>
  <c r="M31" i="2"/>
  <c r="Z30" i="2"/>
  <c r="Y30" i="2"/>
  <c r="T30" i="2"/>
  <c r="S30" i="2"/>
  <c r="N30" i="2"/>
  <c r="M30" i="2"/>
  <c r="Z29" i="2"/>
  <c r="Y29" i="2"/>
  <c r="T29" i="2"/>
  <c r="S29" i="2"/>
  <c r="Z28" i="2"/>
  <c r="Y28" i="2"/>
  <c r="T28" i="2"/>
  <c r="S28" i="2"/>
  <c r="N28" i="2"/>
  <c r="M28" i="2"/>
  <c r="Z27" i="2"/>
  <c r="Y27" i="2"/>
  <c r="T27" i="2"/>
  <c r="S27" i="2"/>
  <c r="N27" i="2"/>
  <c r="M27" i="2"/>
  <c r="Z26" i="2"/>
  <c r="Y26" i="2"/>
  <c r="T26" i="2"/>
  <c r="S26" i="2"/>
  <c r="N26" i="2"/>
  <c r="M26" i="2"/>
  <c r="Z25" i="2"/>
  <c r="Y25" i="2"/>
  <c r="T25" i="2"/>
  <c r="S25" i="2"/>
  <c r="Z24" i="2"/>
  <c r="Y24" i="2"/>
  <c r="T24" i="2"/>
  <c r="S24" i="2"/>
  <c r="N24" i="2"/>
  <c r="M24" i="2"/>
  <c r="Z23" i="2"/>
  <c r="Y23" i="2"/>
  <c r="T23" i="2"/>
  <c r="S23" i="2"/>
  <c r="N23" i="2"/>
  <c r="M23" i="2"/>
  <c r="Z22" i="2"/>
  <c r="Y22" i="2"/>
  <c r="T22" i="2"/>
  <c r="S22" i="2"/>
  <c r="N22" i="2"/>
  <c r="M22" i="2"/>
  <c r="Z21" i="2"/>
  <c r="Y21" i="2"/>
  <c r="T21" i="2"/>
  <c r="S21" i="2"/>
  <c r="N21" i="2"/>
  <c r="M21" i="2"/>
  <c r="Z20" i="2"/>
  <c r="Y20" i="2"/>
  <c r="T20" i="2"/>
  <c r="S20" i="2"/>
  <c r="N20" i="2"/>
  <c r="M20" i="2"/>
  <c r="Z19" i="2"/>
  <c r="Y19" i="2"/>
  <c r="T19" i="2"/>
  <c r="S19" i="2"/>
  <c r="N19" i="2"/>
  <c r="M19" i="2"/>
  <c r="T18" i="2"/>
  <c r="S18" i="2"/>
  <c r="N18" i="2"/>
  <c r="M18" i="2"/>
  <c r="Z17" i="2"/>
  <c r="Y17" i="2"/>
  <c r="T17" i="2"/>
  <c r="S17" i="2"/>
  <c r="N17" i="2"/>
  <c r="M17" i="2"/>
  <c r="Z16" i="2"/>
  <c r="Y16" i="2"/>
  <c r="T16" i="2"/>
  <c r="S16" i="2"/>
  <c r="N16" i="2"/>
  <c r="M16" i="2"/>
  <c r="Z15" i="2"/>
  <c r="Y15" i="2"/>
  <c r="T15" i="2"/>
  <c r="S15" i="2"/>
  <c r="N15" i="2"/>
  <c r="M15" i="2"/>
  <c r="Z14" i="2"/>
  <c r="Y14" i="2"/>
  <c r="T14" i="2"/>
  <c r="S14" i="2"/>
  <c r="N14" i="2"/>
  <c r="M14" i="2"/>
  <c r="Z13" i="2"/>
  <c r="Y13" i="2"/>
  <c r="T13" i="2"/>
  <c r="S13" i="2"/>
  <c r="N13" i="2"/>
  <c r="M13" i="2"/>
  <c r="Z12" i="2"/>
  <c r="Y12" i="2"/>
  <c r="T12" i="2"/>
  <c r="S12" i="2"/>
  <c r="N12" i="2"/>
  <c r="M12" i="2"/>
  <c r="Z11" i="2"/>
  <c r="Y11" i="2"/>
  <c r="T11" i="2"/>
  <c r="S11" i="2"/>
  <c r="N11" i="2"/>
  <c r="M11" i="2"/>
  <c r="Z10" i="2"/>
  <c r="Y10" i="2"/>
  <c r="T10" i="2"/>
  <c r="S10" i="2"/>
  <c r="N10" i="2"/>
  <c r="M10" i="2"/>
  <c r="Z9" i="2"/>
  <c r="Y9" i="2"/>
  <c r="T9" i="2"/>
  <c r="S9" i="2"/>
  <c r="N9" i="2"/>
  <c r="M9" i="2"/>
  <c r="Z8" i="2"/>
  <c r="Y8" i="2"/>
  <c r="T8" i="2"/>
  <c r="S8" i="2"/>
  <c r="N8" i="2"/>
  <c r="M8" i="2"/>
  <c r="Z7" i="2"/>
  <c r="Y7" i="2"/>
  <c r="T7" i="2"/>
  <c r="S7" i="2"/>
  <c r="N7" i="2"/>
  <c r="M7" i="2"/>
  <c r="Z6" i="2"/>
  <c r="Y6" i="2"/>
  <c r="T6" i="2"/>
  <c r="S6" i="2"/>
  <c r="N6" i="2"/>
  <c r="M6" i="2"/>
  <c r="Z5" i="2"/>
  <c r="Y5" i="2"/>
  <c r="T5" i="2"/>
  <c r="S5" i="2"/>
  <c r="N5" i="2"/>
  <c r="M5" i="2"/>
  <c r="Z4" i="2"/>
  <c r="Y4" i="2"/>
  <c r="T4" i="2"/>
  <c r="S4" i="2"/>
  <c r="N4" i="2"/>
  <c r="Z3" i="2"/>
  <c r="Y3" i="2"/>
  <c r="T3" i="2"/>
  <c r="S3" i="2"/>
  <c r="Z2" i="2"/>
  <c r="Y2" i="2"/>
  <c r="T2" i="2"/>
  <c r="S2" i="2"/>
</calcChain>
</file>

<file path=xl/sharedStrings.xml><?xml version="1.0" encoding="utf-8"?>
<sst xmlns="http://schemas.openxmlformats.org/spreadsheetml/2006/main" count="1633" uniqueCount="163">
  <si>
    <t>Season</t>
  </si>
  <si>
    <t>Subject</t>
  </si>
  <si>
    <t>Sex</t>
  </si>
  <si>
    <t>Spayedneutered</t>
  </si>
  <si>
    <t>Breed</t>
  </si>
  <si>
    <t>Dog_1</t>
  </si>
  <si>
    <t>Female</t>
  </si>
  <si>
    <t>Yes</t>
  </si>
  <si>
    <t>Mixed-breed</t>
  </si>
  <si>
    <t>R</t>
  </si>
  <si>
    <t>Dog_2</t>
  </si>
  <si>
    <t>Purebred</t>
  </si>
  <si>
    <t>L</t>
  </si>
  <si>
    <t>Dog_3</t>
  </si>
  <si>
    <t>Dog_4</t>
  </si>
  <si>
    <t>Male</t>
  </si>
  <si>
    <t>Dog_5</t>
  </si>
  <si>
    <t>Dog_6</t>
  </si>
  <si>
    <t>Dog_7</t>
  </si>
  <si>
    <t>Dog_8</t>
  </si>
  <si>
    <t>Dog_9</t>
  </si>
  <si>
    <t>Dog_10</t>
  </si>
  <si>
    <t>Dog_11</t>
  </si>
  <si>
    <t>Dog_12</t>
  </si>
  <si>
    <t>Dog_13</t>
  </si>
  <si>
    <t>Dog_14</t>
  </si>
  <si>
    <t>Dog_15</t>
  </si>
  <si>
    <t>Dog_16</t>
  </si>
  <si>
    <t>Dog_17</t>
  </si>
  <si>
    <t>Dog_18</t>
  </si>
  <si>
    <t>Dog_19</t>
  </si>
  <si>
    <t>Dog_20</t>
  </si>
  <si>
    <t>Dog_21</t>
  </si>
  <si>
    <t>Dog_22</t>
  </si>
  <si>
    <t>Dog_23</t>
  </si>
  <si>
    <t>Dog_24</t>
  </si>
  <si>
    <t>Dog_25</t>
  </si>
  <si>
    <t>Dog_26</t>
  </si>
  <si>
    <t>Dog_27</t>
  </si>
  <si>
    <t>Dog_28</t>
  </si>
  <si>
    <t>Dog_29</t>
  </si>
  <si>
    <t>Dog_30</t>
  </si>
  <si>
    <t>No</t>
  </si>
  <si>
    <t>Dog_31</t>
  </si>
  <si>
    <t>Feb-Mar24</t>
  </si>
  <si>
    <t>Dog_32</t>
  </si>
  <si>
    <t>Dog_33</t>
  </si>
  <si>
    <t>Dog_34</t>
  </si>
  <si>
    <t>Dog_35</t>
  </si>
  <si>
    <t>Dog_36</t>
  </si>
  <si>
    <t>Dog_37</t>
  </si>
  <si>
    <t>Dog_38</t>
  </si>
  <si>
    <t>Dog_39</t>
  </si>
  <si>
    <t>Dog_40</t>
  </si>
  <si>
    <t>Dog_41</t>
  </si>
  <si>
    <t>Dog_42</t>
  </si>
  <si>
    <t>Dog_43</t>
  </si>
  <si>
    <t>JBhabit3</t>
  </si>
  <si>
    <t>JBhabit4</t>
  </si>
  <si>
    <t>JBnovel</t>
  </si>
  <si>
    <t>JBside</t>
  </si>
  <si>
    <t>JBdishabitdifference</t>
  </si>
  <si>
    <t>JBdiscrmdifference</t>
  </si>
  <si>
    <t>SBhabit3</t>
  </si>
  <si>
    <t>SBhabit4</t>
  </si>
  <si>
    <t>SBnovel</t>
  </si>
  <si>
    <t>SBside</t>
  </si>
  <si>
    <t>SBdishabitdifference</t>
  </si>
  <si>
    <t>SBdiscrmdifference</t>
  </si>
  <si>
    <t>SJhabit3</t>
  </si>
  <si>
    <t>SJhabit4</t>
  </si>
  <si>
    <t>SJnovel</t>
  </si>
  <si>
    <t>SJside</t>
  </si>
  <si>
    <t>SJdishabitdifference</t>
  </si>
  <si>
    <t>SJdiscrmdifference</t>
  </si>
  <si>
    <t>habit1</t>
  </si>
  <si>
    <t>habit2</t>
  </si>
  <si>
    <t>habit3</t>
  </si>
  <si>
    <t>habit4</t>
  </si>
  <si>
    <t>novel</t>
  </si>
  <si>
    <t>Bhabit1_vJ</t>
  </si>
  <si>
    <t>Jnovel_vB</t>
  </si>
  <si>
    <t>Jhabit1_vB</t>
  </si>
  <si>
    <t>Jhabit2_vB</t>
  </si>
  <si>
    <t>Jhabit3_vB</t>
  </si>
  <si>
    <t>Bnovel_vJ</t>
  </si>
  <si>
    <t>Bhabit2_vJ</t>
  </si>
  <si>
    <t>Bhabit3_vJ</t>
  </si>
  <si>
    <t>Bhabit4_vJ</t>
  </si>
  <si>
    <t>Bhabit_vS</t>
  </si>
  <si>
    <t>Bhabit2_vS</t>
  </si>
  <si>
    <t>Bhabit3_vS</t>
  </si>
  <si>
    <t>Bhabit4_vS</t>
  </si>
  <si>
    <t>Snovel_vB</t>
  </si>
  <si>
    <t>Shabit1_vB</t>
  </si>
  <si>
    <t>Shabit2_vB</t>
  </si>
  <si>
    <t>Shabit3_vB</t>
  </si>
  <si>
    <t>Shabit4_vB</t>
  </si>
  <si>
    <t>Bnovel_vS</t>
  </si>
  <si>
    <t>Shabit2_vJ</t>
  </si>
  <si>
    <t>Shabit1_vJ</t>
  </si>
  <si>
    <t>Shabit3_vJ</t>
  </si>
  <si>
    <t>Shabit4_vJ</t>
  </si>
  <si>
    <t>Jnovel_vS</t>
  </si>
  <si>
    <t>Jhabit1_vS</t>
  </si>
  <si>
    <t>Jhabit2_vS</t>
  </si>
  <si>
    <t>Jhabit3_vS</t>
  </si>
  <si>
    <t>Jhabit4_vS</t>
  </si>
  <si>
    <t>Snovel_vJ</t>
  </si>
  <si>
    <t>Jhabit4_vB</t>
  </si>
  <si>
    <t>Bside_vJ</t>
  </si>
  <si>
    <t>Jside_vB</t>
  </si>
  <si>
    <t>Sside_vB</t>
  </si>
  <si>
    <t>Bside_vS</t>
  </si>
  <si>
    <t>Jside_vS</t>
  </si>
  <si>
    <t>Sside_vJ</t>
  </si>
  <si>
    <t>Birthday</t>
  </si>
  <si>
    <t>2017-not sure</t>
  </si>
  <si>
    <t>2019...ish. He's a Rescue so we don't know exactly.</t>
  </si>
  <si>
    <t>Age_months</t>
  </si>
  <si>
    <t>Breed_specific</t>
  </si>
  <si>
    <t>30% Cattle Dog, 20% Chihuahua, ~12% each: Border Collie, Great Pyrenees, Basset Hound, coonhound, tiny bit McNab</t>
  </si>
  <si>
    <t>Havanese</t>
  </si>
  <si>
    <t>Labrador Retriever, Pit Bull, lots of other breeds</t>
  </si>
  <si>
    <t>Maltese</t>
  </si>
  <si>
    <t>Australian Cattle Dog, Chihuahua, Chow Chow, German Shepherd, Vizsla, Alaskan husky</t>
  </si>
  <si>
    <t>Pit Bull, Mountain Cur, Labrador Retriever, Chow Chow, German Shepherd</t>
  </si>
  <si>
    <t>English Shepherd</t>
  </si>
  <si>
    <t>Yorkshire Terrier</t>
  </si>
  <si>
    <t>Welsh Springer Spaniel</t>
  </si>
  <si>
    <t>Wheaten Terrier</t>
  </si>
  <si>
    <t xml:space="preserve">Chow Chow, Boxer, Labrador Retriever, Collie, Pit Bull, etc. </t>
  </si>
  <si>
    <t>Terrier, Pit Bull</t>
  </si>
  <si>
    <t xml:space="preserve">Chocolate Labrador Retriever </t>
  </si>
  <si>
    <t>Goldendoodle</t>
  </si>
  <si>
    <t>Labrador Retriever, Golden Retriever, Poodle, Pit Bull, Staffordshire Bull Terrier, hound, Boxer</t>
  </si>
  <si>
    <t>Corgi, Great Pyrenees, Pyrenean Mastiff, Shetland Sheepdog</t>
  </si>
  <si>
    <t>French Bulldog</t>
  </si>
  <si>
    <t>50% Poodle, 15% Chihuauhua, 15% Lahso Apso, 7% Pomeranian, 13% other</t>
  </si>
  <si>
    <t>American Cocker Spaniel, Miniature Poodle</t>
  </si>
  <si>
    <t>Golden Retriever</t>
  </si>
  <si>
    <t>Cavapoo</t>
  </si>
  <si>
    <t>Boston Terrier, Chihuahua, Beagle, American Pit Bull Terrier, Australian Cattle Dog, Pug</t>
  </si>
  <si>
    <t>Poodle, Chihuahua, Jack Russell, Dachshund, Cocker Spaniel, etc.</t>
  </si>
  <si>
    <t xml:space="preserve">Labrador Retriever, American Pit Bull Terrier </t>
  </si>
  <si>
    <t>some dachshund</t>
  </si>
  <si>
    <t>50% German Shepard, 25% Great Dane, 10% Border Collie, the rest supermutt</t>
  </si>
  <si>
    <t xml:space="preserve">mix of Pitbull Terrier or American Staffordshire Terrier and hound </t>
  </si>
  <si>
    <t>Toy Poodle</t>
  </si>
  <si>
    <t>Shih Tzu &amp; Poodle</t>
  </si>
  <si>
    <t>Australian Shepherd &amp; Poodle</t>
  </si>
  <si>
    <t>Bernese Mountain Dog &amp; Poodle</t>
  </si>
  <si>
    <t>Dachshund</t>
  </si>
  <si>
    <t>Rat Terrier</t>
  </si>
  <si>
    <t>Miniature Schnauzer</t>
  </si>
  <si>
    <t>Poodle</t>
  </si>
  <si>
    <t>Poodle Schnauzer mix</t>
  </si>
  <si>
    <t>Labrador Retriever, Collie, Shiba Inu, husky</t>
  </si>
  <si>
    <t>Toy Poodle, Cocker Spaniel</t>
  </si>
  <si>
    <t>American Eskimo Dog</t>
  </si>
  <si>
    <t xml:space="preserve">Cavalier King Charles Spaniel &amp; Poodle </t>
  </si>
  <si>
    <t>American Pit Bull Terrier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</si>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</sst>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mmd"/>
    <numFmt numFmtId="166" formatCode="mmmd"/>
  </numFmts>
  <fonts count="3" x14ac:knownFonts="1">
    <font>
      <sz val="10"/>
      <color rgb="FF000000"/>
      <name val="Arial"/>
      <scheme val="minor"/>
    </font>
    <font>
      <sz val="12"/>
      <color theme="1"/>
      <name val="Helvetica Neue"/>
      <family val="2"/>
    </font>
    <font>
      <sz val="12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165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/>
    <xf numFmtId="17" fontId="2" fillId="0" borderId="0" xfId="0" applyNumberFormat="1" applyFont="1"/>
    <xf numFmtId="14" fontId="2" fillId="0" borderId="0" xfId="0" applyNumberFormat="1" applyFont="1"/>
    <xf numFmtId="0" fontId="1" fillId="0" borderId="0" xfId="0" applyFont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44"/>
  <sheetViews>
    <sheetView tabSelected="1" workbookViewId="0">
      <pane ySplit="1" topLeftCell="A3" activePane="bottomLeft" state="frozen"/>
      <selection pane="bottomLeft"/>
    </sheetView>
  </sheetViews>
  <sheetFormatPr baseColWidth="10" defaultColWidth="12.6640625" defaultRowHeight="15.75" customHeight="1" x14ac:dyDescent="0.2"/>
  <cols>
    <col min="1" max="5" width="12.6640625" style="6"/>
    <col min="6" max="6" width="13.6640625" style="6" customWidth="1"/>
    <col min="7" max="16384" width="12.6640625" style="6"/>
  </cols>
  <sheetData>
    <row r="1" spans="1:44" ht="15.75" customHeight="1" x14ac:dyDescent="0.2">
      <c r="A1" s="1" t="s">
        <v>0</v>
      </c>
      <c r="B1" s="1" t="s">
        <v>1</v>
      </c>
      <c r="C1" s="1" t="s">
        <v>2</v>
      </c>
      <c r="D1" s="6" t="s">
        <v>116</v>
      </c>
      <c r="E1" s="6" t="s">
        <v>119</v>
      </c>
      <c r="F1" s="1" t="s">
        <v>3</v>
      </c>
      <c r="G1" s="1" t="s">
        <v>4</v>
      </c>
      <c r="H1" s="1" t="s">
        <v>120</v>
      </c>
      <c r="I1" s="1" t="s">
        <v>82</v>
      </c>
      <c r="J1" s="1" t="s">
        <v>83</v>
      </c>
      <c r="K1" s="1" t="s">
        <v>84</v>
      </c>
      <c r="L1" s="1" t="s">
        <v>109</v>
      </c>
      <c r="M1" s="1" t="s">
        <v>85</v>
      </c>
      <c r="N1" s="1" t="s">
        <v>110</v>
      </c>
      <c r="O1" s="1" t="s">
        <v>80</v>
      </c>
      <c r="P1" s="1" t="s">
        <v>86</v>
      </c>
      <c r="Q1" s="1" t="s">
        <v>87</v>
      </c>
      <c r="R1" s="1" t="s">
        <v>88</v>
      </c>
      <c r="S1" s="1" t="s">
        <v>81</v>
      </c>
      <c r="T1" s="1" t="s">
        <v>111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112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113</v>
      </c>
      <c r="AG1" s="1" t="s">
        <v>100</v>
      </c>
      <c r="AH1" s="1" t="s">
        <v>99</v>
      </c>
      <c r="AI1" s="1" t="s">
        <v>101</v>
      </c>
      <c r="AJ1" s="1" t="s">
        <v>102</v>
      </c>
      <c r="AK1" s="1" t="s">
        <v>103</v>
      </c>
      <c r="AL1" s="1" t="s">
        <v>114</v>
      </c>
      <c r="AM1" s="1" t="s">
        <v>104</v>
      </c>
      <c r="AN1" s="1" t="s">
        <v>105</v>
      </c>
      <c r="AO1" s="1" t="s">
        <v>106</v>
      </c>
      <c r="AP1" s="1" t="s">
        <v>107</v>
      </c>
      <c r="AQ1" s="1" t="s">
        <v>108</v>
      </c>
      <c r="AR1" s="1" t="s">
        <v>115</v>
      </c>
    </row>
    <row r="2" spans="1:44" ht="15.75" customHeight="1" x14ac:dyDescent="0.2">
      <c r="A2" s="2">
        <v>45771</v>
      </c>
      <c r="B2" s="1" t="s">
        <v>5</v>
      </c>
      <c r="C2" s="1" t="s">
        <v>6</v>
      </c>
      <c r="D2" s="7">
        <v>44409</v>
      </c>
      <c r="E2" s="6">
        <v>32</v>
      </c>
      <c r="F2" s="1" t="s">
        <v>7</v>
      </c>
      <c r="G2" s="1" t="s">
        <v>8</v>
      </c>
      <c r="H2" s="1" t="s">
        <v>121</v>
      </c>
      <c r="I2" s="1" t="s">
        <v>162</v>
      </c>
      <c r="J2" s="1" t="s">
        <v>162</v>
      </c>
      <c r="K2" s="1" t="s">
        <v>162</v>
      </c>
      <c r="L2" s="1" t="s">
        <v>162</v>
      </c>
      <c r="M2" s="1" t="s">
        <v>162</v>
      </c>
      <c r="N2" s="1" t="s">
        <v>162</v>
      </c>
      <c r="O2" s="3">
        <v>3.6779999999999999</v>
      </c>
      <c r="P2" s="3">
        <v>1.8779999999999999</v>
      </c>
      <c r="Q2" s="3">
        <v>0.36099999999999999</v>
      </c>
      <c r="R2" s="3">
        <v>0.36799999999999999</v>
      </c>
      <c r="S2" s="3">
        <v>0.83299999999999996</v>
      </c>
      <c r="T2" s="1" t="s">
        <v>9</v>
      </c>
      <c r="U2" s="1" t="s">
        <v>162</v>
      </c>
      <c r="V2" s="1" t="s">
        <v>162</v>
      </c>
      <c r="W2" s="1" t="s">
        <v>162</v>
      </c>
      <c r="X2" s="1" t="s">
        <v>162</v>
      </c>
      <c r="Y2" s="1" t="s">
        <v>162</v>
      </c>
      <c r="Z2" s="1" t="s">
        <v>162</v>
      </c>
      <c r="AA2" s="3">
        <v>5.2229999999999999</v>
      </c>
      <c r="AB2" s="3">
        <v>0.70499999999999996</v>
      </c>
      <c r="AC2" s="3">
        <v>1.512</v>
      </c>
      <c r="AD2" s="3">
        <v>0.68500000000000005</v>
      </c>
      <c r="AE2" s="3">
        <v>1.29</v>
      </c>
      <c r="AF2" s="1" t="s">
        <v>9</v>
      </c>
      <c r="AG2" s="1" t="s">
        <v>162</v>
      </c>
      <c r="AH2" s="1" t="s">
        <v>162</v>
      </c>
      <c r="AI2" s="1" t="s">
        <v>162</v>
      </c>
      <c r="AJ2" s="1" t="s">
        <v>162</v>
      </c>
      <c r="AK2" s="1" t="s">
        <v>162</v>
      </c>
      <c r="AL2" s="1" t="s">
        <v>162</v>
      </c>
      <c r="AM2" s="3">
        <v>3.653</v>
      </c>
      <c r="AN2" s="3">
        <v>0.80900000000000005</v>
      </c>
      <c r="AO2" s="3">
        <v>0</v>
      </c>
      <c r="AP2" s="3">
        <v>1.5760000000000001</v>
      </c>
      <c r="AQ2" s="3">
        <v>0</v>
      </c>
      <c r="AR2" s="1" t="s">
        <v>9</v>
      </c>
    </row>
    <row r="3" spans="1:44" ht="15.75" customHeight="1" x14ac:dyDescent="0.2">
      <c r="A3" s="2">
        <v>45771</v>
      </c>
      <c r="B3" s="1" t="s">
        <v>10</v>
      </c>
      <c r="C3" s="1" t="s">
        <v>6</v>
      </c>
      <c r="D3" s="7">
        <v>42309</v>
      </c>
      <c r="E3" s="6">
        <v>101</v>
      </c>
      <c r="F3" s="1" t="s">
        <v>7</v>
      </c>
      <c r="G3" s="1" t="s">
        <v>11</v>
      </c>
      <c r="H3" s="1" t="s">
        <v>122</v>
      </c>
      <c r="I3" s="1" t="s">
        <v>162</v>
      </c>
      <c r="J3" s="1" t="s">
        <v>162</v>
      </c>
      <c r="K3" s="1" t="s">
        <v>162</v>
      </c>
      <c r="L3" s="1" t="s">
        <v>162</v>
      </c>
      <c r="M3" s="1" t="s">
        <v>162</v>
      </c>
      <c r="N3" s="1" t="s">
        <v>162</v>
      </c>
      <c r="O3" s="3">
        <v>4.7409999999999997</v>
      </c>
      <c r="P3" s="3">
        <v>4.5540000000000003</v>
      </c>
      <c r="Q3" s="3">
        <v>2.278</v>
      </c>
      <c r="R3" s="3">
        <v>2.8039999999999998</v>
      </c>
      <c r="S3" s="3">
        <v>1.405</v>
      </c>
      <c r="T3" s="1" t="s">
        <v>12</v>
      </c>
      <c r="U3" s="1" t="s">
        <v>162</v>
      </c>
      <c r="V3" s="1" t="s">
        <v>162</v>
      </c>
      <c r="W3" s="1" t="s">
        <v>162</v>
      </c>
      <c r="X3" s="1" t="s">
        <v>162</v>
      </c>
      <c r="Y3" s="1" t="s">
        <v>162</v>
      </c>
      <c r="Z3" s="1" t="s">
        <v>162</v>
      </c>
      <c r="AA3" s="3">
        <v>4.5309999999999997</v>
      </c>
      <c r="AB3" s="3">
        <v>3.7610000000000001</v>
      </c>
      <c r="AC3" s="3">
        <v>2.97</v>
      </c>
      <c r="AD3" s="3">
        <v>3.2469999999999999</v>
      </c>
      <c r="AE3" s="3">
        <v>2.7189999999999999</v>
      </c>
      <c r="AF3" s="1" t="s">
        <v>12</v>
      </c>
      <c r="AG3" s="1" t="s">
        <v>162</v>
      </c>
      <c r="AH3" s="1" t="s">
        <v>162</v>
      </c>
      <c r="AI3" s="1" t="s">
        <v>162</v>
      </c>
      <c r="AJ3" s="1" t="s">
        <v>162</v>
      </c>
      <c r="AK3" s="1" t="s">
        <v>162</v>
      </c>
      <c r="AL3" s="1" t="s">
        <v>162</v>
      </c>
      <c r="AM3" s="3">
        <v>12.382</v>
      </c>
      <c r="AN3" s="3">
        <v>5.9450000000000003</v>
      </c>
      <c r="AO3" s="3">
        <v>4.0410000000000004</v>
      </c>
      <c r="AP3" s="3">
        <v>3.67</v>
      </c>
      <c r="AQ3" s="3">
        <v>8.4030000000000005</v>
      </c>
      <c r="AR3" s="1" t="s">
        <v>9</v>
      </c>
    </row>
    <row r="4" spans="1:44" ht="15.75" customHeight="1" x14ac:dyDescent="0.2">
      <c r="A4" s="2">
        <v>45771</v>
      </c>
      <c r="B4" s="1" t="s">
        <v>13</v>
      </c>
      <c r="C4" s="1" t="s">
        <v>6</v>
      </c>
      <c r="D4" s="8">
        <v>43845</v>
      </c>
      <c r="E4" s="6">
        <v>50.548000000000002</v>
      </c>
      <c r="F4" s="1" t="s">
        <v>7</v>
      </c>
      <c r="G4" s="1" t="s">
        <v>8</v>
      </c>
      <c r="H4" s="1" t="s">
        <v>123</v>
      </c>
      <c r="I4" s="1" t="s">
        <v>162</v>
      </c>
      <c r="J4" s="1" t="s">
        <v>162</v>
      </c>
      <c r="K4" s="1" t="s">
        <v>162</v>
      </c>
      <c r="L4" s="1" t="s">
        <v>162</v>
      </c>
      <c r="M4" s="1" t="s">
        <v>162</v>
      </c>
      <c r="N4" s="1" t="s">
        <v>162</v>
      </c>
      <c r="O4" s="3">
        <v>5.7530000000000001</v>
      </c>
      <c r="P4" s="3">
        <v>4.2910000000000004</v>
      </c>
      <c r="Q4" s="3">
        <v>0.92600000000000005</v>
      </c>
      <c r="R4" s="3">
        <v>1.081</v>
      </c>
      <c r="S4" s="3">
        <v>0.26</v>
      </c>
      <c r="T4" s="1" t="s">
        <v>12</v>
      </c>
      <c r="U4" s="1" t="s">
        <v>162</v>
      </c>
      <c r="V4" s="1" t="s">
        <v>162</v>
      </c>
      <c r="W4" s="1" t="s">
        <v>162</v>
      </c>
      <c r="X4" s="1" t="s">
        <v>162</v>
      </c>
      <c r="Y4" s="1" t="s">
        <v>162</v>
      </c>
      <c r="Z4" s="1" t="s">
        <v>162</v>
      </c>
      <c r="AA4" s="3">
        <v>9.343</v>
      </c>
      <c r="AB4" s="3">
        <v>6.5519999999999996</v>
      </c>
      <c r="AC4" s="3">
        <v>3.0150000000000001</v>
      </c>
      <c r="AD4" s="3">
        <v>1.2230000000000001</v>
      </c>
      <c r="AE4" s="3">
        <v>3.6859999999999999</v>
      </c>
      <c r="AF4" s="1" t="s">
        <v>12</v>
      </c>
      <c r="AG4" s="1" t="s">
        <v>162</v>
      </c>
      <c r="AH4" s="1" t="s">
        <v>162</v>
      </c>
      <c r="AI4" s="1" t="s">
        <v>162</v>
      </c>
      <c r="AJ4" s="1" t="s">
        <v>162</v>
      </c>
      <c r="AK4" s="1" t="s">
        <v>162</v>
      </c>
      <c r="AL4" s="1" t="s">
        <v>162</v>
      </c>
      <c r="AM4" s="3">
        <v>13.013999999999999</v>
      </c>
      <c r="AN4" s="3">
        <v>1.6719999999999999</v>
      </c>
      <c r="AO4" s="3">
        <v>4.1360000000000001</v>
      </c>
      <c r="AP4" s="3">
        <v>7.0170000000000003</v>
      </c>
      <c r="AQ4" s="3">
        <v>2.105</v>
      </c>
      <c r="AR4" s="1" t="s">
        <v>9</v>
      </c>
    </row>
    <row r="5" spans="1:44" ht="15.75" customHeight="1" x14ac:dyDescent="0.2">
      <c r="A5" s="2">
        <v>45771</v>
      </c>
      <c r="B5" s="1" t="s">
        <v>14</v>
      </c>
      <c r="C5" s="1" t="s">
        <v>15</v>
      </c>
      <c r="D5" s="8">
        <v>44639</v>
      </c>
      <c r="E5" s="6">
        <v>24.419</v>
      </c>
      <c r="F5" s="1" t="s">
        <v>7</v>
      </c>
      <c r="G5" s="1" t="s">
        <v>11</v>
      </c>
      <c r="H5" s="1" t="s">
        <v>124</v>
      </c>
      <c r="I5" s="1" t="s">
        <v>162</v>
      </c>
      <c r="J5" s="1" t="s">
        <v>162</v>
      </c>
      <c r="K5" s="1" t="s">
        <v>162</v>
      </c>
      <c r="L5" s="1" t="s">
        <v>162</v>
      </c>
      <c r="M5" s="1" t="s">
        <v>162</v>
      </c>
      <c r="N5" s="1" t="s">
        <v>162</v>
      </c>
      <c r="O5" s="3">
        <v>13.279</v>
      </c>
      <c r="P5" s="3">
        <v>15.577</v>
      </c>
      <c r="Q5" s="3">
        <v>1.2729999999999999</v>
      </c>
      <c r="R5" s="3">
        <v>9.9719999999999995</v>
      </c>
      <c r="S5" s="3">
        <v>4.2460000000000004</v>
      </c>
      <c r="T5" s="1" t="s">
        <v>9</v>
      </c>
      <c r="U5" s="1" t="s">
        <v>162</v>
      </c>
      <c r="V5" s="1" t="s">
        <v>162</v>
      </c>
      <c r="W5" s="1" t="s">
        <v>162</v>
      </c>
      <c r="X5" s="1" t="s">
        <v>162</v>
      </c>
      <c r="Y5" s="1" t="s">
        <v>162</v>
      </c>
      <c r="Z5" s="1" t="s">
        <v>162</v>
      </c>
      <c r="AA5" s="3">
        <v>7.7549999999999999</v>
      </c>
      <c r="AB5" s="3">
        <v>3.3279999999999998</v>
      </c>
      <c r="AC5" s="3">
        <v>1.929</v>
      </c>
      <c r="AD5" s="3">
        <v>1.7410000000000001</v>
      </c>
      <c r="AE5" s="3">
        <v>2.35</v>
      </c>
      <c r="AF5" s="1" t="s">
        <v>12</v>
      </c>
      <c r="AG5" s="1" t="s">
        <v>162</v>
      </c>
      <c r="AH5" s="1" t="s">
        <v>162</v>
      </c>
      <c r="AI5" s="1" t="s">
        <v>162</v>
      </c>
      <c r="AJ5" s="1" t="s">
        <v>162</v>
      </c>
      <c r="AK5" s="1" t="s">
        <v>162</v>
      </c>
      <c r="AL5" s="1" t="s">
        <v>162</v>
      </c>
      <c r="AM5" s="3">
        <v>10.66</v>
      </c>
      <c r="AN5" s="3">
        <v>4.6500000000000004</v>
      </c>
      <c r="AO5" s="3">
        <v>2.6949999999999998</v>
      </c>
      <c r="AP5" s="3">
        <v>1.7809999999999999</v>
      </c>
      <c r="AQ5" s="3">
        <v>1.7290000000000001</v>
      </c>
      <c r="AR5" s="1" t="s">
        <v>9</v>
      </c>
    </row>
    <row r="6" spans="1:44" ht="15.75" customHeight="1" x14ac:dyDescent="0.2">
      <c r="A6" s="2">
        <v>45771</v>
      </c>
      <c r="B6" s="1" t="s">
        <v>16</v>
      </c>
      <c r="C6" s="1" t="s">
        <v>6</v>
      </c>
      <c r="D6" s="7">
        <v>40909</v>
      </c>
      <c r="E6" s="6">
        <v>147</v>
      </c>
      <c r="F6" s="1" t="s">
        <v>7</v>
      </c>
      <c r="G6" s="1" t="s">
        <v>8</v>
      </c>
      <c r="H6" s="1" t="s">
        <v>125</v>
      </c>
      <c r="I6" s="3">
        <v>1.9590000000000001</v>
      </c>
      <c r="J6" s="3">
        <v>5.6820000000000004</v>
      </c>
      <c r="K6" s="3">
        <v>0</v>
      </c>
      <c r="L6" s="3">
        <v>0</v>
      </c>
      <c r="M6" s="3">
        <v>0.76900000000000002</v>
      </c>
      <c r="N6" s="1" t="s">
        <v>9</v>
      </c>
      <c r="O6" s="1" t="s">
        <v>162</v>
      </c>
      <c r="P6" s="1" t="s">
        <v>162</v>
      </c>
      <c r="Q6" s="1" t="s">
        <v>162</v>
      </c>
      <c r="R6" s="1" t="s">
        <v>162</v>
      </c>
      <c r="S6" s="1" t="s">
        <v>162</v>
      </c>
      <c r="T6" s="1" t="s">
        <v>162</v>
      </c>
      <c r="U6" s="3">
        <v>4.1520000000000001</v>
      </c>
      <c r="V6" s="3">
        <v>6.3929999999999998</v>
      </c>
      <c r="W6" s="3">
        <v>1.58</v>
      </c>
      <c r="X6" s="3">
        <v>0.72899999999999998</v>
      </c>
      <c r="Y6" s="3">
        <v>0</v>
      </c>
      <c r="Z6" s="1" t="s">
        <v>12</v>
      </c>
      <c r="AA6" s="1" t="s">
        <v>162</v>
      </c>
      <c r="AB6" s="1" t="s">
        <v>162</v>
      </c>
      <c r="AC6" s="1" t="s">
        <v>162</v>
      </c>
      <c r="AD6" s="1" t="s">
        <v>162</v>
      </c>
      <c r="AE6" s="1" t="s">
        <v>162</v>
      </c>
      <c r="AF6" s="1" t="s">
        <v>162</v>
      </c>
      <c r="AG6" s="3">
        <v>2.5110000000000001</v>
      </c>
      <c r="AH6" s="3">
        <v>1.641</v>
      </c>
      <c r="AI6" s="3">
        <v>1.577</v>
      </c>
      <c r="AJ6" s="3">
        <v>0.19</v>
      </c>
      <c r="AK6" s="3">
        <v>4.1120000000000001</v>
      </c>
      <c r="AL6" s="1" t="s">
        <v>12</v>
      </c>
      <c r="AM6" s="1" t="s">
        <v>162</v>
      </c>
      <c r="AN6" s="1" t="s">
        <v>162</v>
      </c>
      <c r="AO6" s="1" t="s">
        <v>162</v>
      </c>
      <c r="AP6" s="1" t="s">
        <v>162</v>
      </c>
      <c r="AQ6" s="1" t="s">
        <v>162</v>
      </c>
      <c r="AR6" s="1" t="s">
        <v>162</v>
      </c>
    </row>
    <row r="7" spans="1:44" ht="15.75" customHeight="1" x14ac:dyDescent="0.2">
      <c r="A7" s="2">
        <v>45771</v>
      </c>
      <c r="B7" s="1" t="s">
        <v>17</v>
      </c>
      <c r="C7" s="1" t="s">
        <v>6</v>
      </c>
      <c r="D7" s="7">
        <v>44501</v>
      </c>
      <c r="E7" s="6">
        <v>29</v>
      </c>
      <c r="F7" s="1" t="s">
        <v>7</v>
      </c>
      <c r="G7" s="1" t="s">
        <v>8</v>
      </c>
      <c r="H7" s="1" t="s">
        <v>126</v>
      </c>
      <c r="I7" s="3">
        <v>7.1779999999999999</v>
      </c>
      <c r="J7" s="3">
        <v>4.9189999999999996</v>
      </c>
      <c r="K7" s="3">
        <v>1.917</v>
      </c>
      <c r="L7" s="3">
        <v>1.577</v>
      </c>
      <c r="M7" s="3">
        <v>4.6210000000000004</v>
      </c>
      <c r="N7" s="1" t="s">
        <v>12</v>
      </c>
      <c r="O7" s="1" t="s">
        <v>162</v>
      </c>
      <c r="P7" s="1" t="s">
        <v>162</v>
      </c>
      <c r="Q7" s="1" t="s">
        <v>162</v>
      </c>
      <c r="R7" s="1" t="s">
        <v>162</v>
      </c>
      <c r="S7" s="1" t="s">
        <v>162</v>
      </c>
      <c r="T7" s="1" t="s">
        <v>162</v>
      </c>
      <c r="U7" s="3">
        <v>7.2270000000000003</v>
      </c>
      <c r="V7" s="3">
        <v>7.1310000000000002</v>
      </c>
      <c r="W7" s="3">
        <v>5.2119999999999997</v>
      </c>
      <c r="X7" s="3">
        <v>2.448</v>
      </c>
      <c r="Y7" s="3">
        <v>1.4259999999999999</v>
      </c>
      <c r="Z7" s="1" t="s">
        <v>12</v>
      </c>
      <c r="AA7" s="1" t="s">
        <v>162</v>
      </c>
      <c r="AB7" s="1" t="s">
        <v>162</v>
      </c>
      <c r="AC7" s="1" t="s">
        <v>162</v>
      </c>
      <c r="AD7" s="1" t="s">
        <v>162</v>
      </c>
      <c r="AE7" s="1" t="s">
        <v>162</v>
      </c>
      <c r="AF7" s="1" t="s">
        <v>162</v>
      </c>
      <c r="AG7" s="3">
        <v>3.4860000000000002</v>
      </c>
      <c r="AH7" s="3">
        <v>4.25</v>
      </c>
      <c r="AI7" s="3">
        <v>2.3250000000000002</v>
      </c>
      <c r="AJ7" s="3">
        <v>2.5249999999999999</v>
      </c>
      <c r="AK7" s="3">
        <v>4.976</v>
      </c>
      <c r="AL7" s="1" t="s">
        <v>9</v>
      </c>
      <c r="AM7" s="1" t="s">
        <v>162</v>
      </c>
      <c r="AN7" s="1" t="s">
        <v>162</v>
      </c>
      <c r="AO7" s="1" t="s">
        <v>162</v>
      </c>
      <c r="AP7" s="1" t="s">
        <v>162</v>
      </c>
      <c r="AQ7" s="1" t="s">
        <v>162</v>
      </c>
      <c r="AR7" s="1" t="s">
        <v>162</v>
      </c>
    </row>
    <row r="8" spans="1:44" ht="15.75" customHeight="1" x14ac:dyDescent="0.2">
      <c r="A8" s="2">
        <v>45771</v>
      </c>
      <c r="B8" s="1" t="s">
        <v>18</v>
      </c>
      <c r="C8" s="1" t="s">
        <v>6</v>
      </c>
      <c r="D8" s="8">
        <v>44155</v>
      </c>
      <c r="E8" s="6">
        <v>16.399999999999999</v>
      </c>
      <c r="F8" s="1" t="s">
        <v>7</v>
      </c>
      <c r="G8" s="1" t="s">
        <v>11</v>
      </c>
      <c r="H8" s="1" t="s">
        <v>127</v>
      </c>
      <c r="I8" s="1" t="s">
        <v>162</v>
      </c>
      <c r="J8" s="1" t="s">
        <v>162</v>
      </c>
      <c r="K8" s="1" t="s">
        <v>162</v>
      </c>
      <c r="L8" s="1" t="s">
        <v>162</v>
      </c>
      <c r="M8" s="1" t="s">
        <v>162</v>
      </c>
      <c r="N8" s="1" t="s">
        <v>162</v>
      </c>
      <c r="O8" s="3">
        <v>2.125</v>
      </c>
      <c r="P8" s="3">
        <v>5.3049999999999997</v>
      </c>
      <c r="Q8" s="3">
        <v>1.946</v>
      </c>
      <c r="R8" s="3">
        <v>1.3009999999999999</v>
      </c>
      <c r="S8" s="3">
        <v>1.292</v>
      </c>
      <c r="T8" s="1" t="s">
        <v>9</v>
      </c>
      <c r="U8" s="1" t="s">
        <v>162</v>
      </c>
      <c r="V8" s="1" t="s">
        <v>162</v>
      </c>
      <c r="W8" s="1" t="s">
        <v>162</v>
      </c>
      <c r="X8" s="1" t="s">
        <v>162</v>
      </c>
      <c r="Y8" s="1" t="s">
        <v>162</v>
      </c>
      <c r="Z8" s="1" t="s">
        <v>162</v>
      </c>
      <c r="AA8" s="3">
        <v>2.0209999999999999</v>
      </c>
      <c r="AB8" s="3">
        <v>2.3260000000000001</v>
      </c>
      <c r="AC8" s="3">
        <v>1.06</v>
      </c>
      <c r="AD8" s="3">
        <v>0</v>
      </c>
      <c r="AE8" s="3">
        <v>0.56699999999999995</v>
      </c>
      <c r="AF8" s="1" t="s">
        <v>9</v>
      </c>
      <c r="AG8" s="1" t="s">
        <v>162</v>
      </c>
      <c r="AH8" s="1" t="s">
        <v>162</v>
      </c>
      <c r="AI8" s="1" t="s">
        <v>162</v>
      </c>
      <c r="AJ8" s="1" t="s">
        <v>162</v>
      </c>
      <c r="AK8" s="1" t="s">
        <v>162</v>
      </c>
      <c r="AL8" s="1" t="s">
        <v>162</v>
      </c>
      <c r="AM8" s="3">
        <v>3.5920000000000001</v>
      </c>
      <c r="AN8" s="3">
        <v>1.6020000000000001</v>
      </c>
      <c r="AO8" s="3">
        <v>0.219</v>
      </c>
      <c r="AP8" s="3">
        <v>0</v>
      </c>
      <c r="AQ8" s="3">
        <v>1.2909999999999999</v>
      </c>
      <c r="AR8" s="1" t="s">
        <v>9</v>
      </c>
    </row>
    <row r="9" spans="1:44" ht="15.75" customHeight="1" x14ac:dyDescent="0.2">
      <c r="A9" s="2">
        <v>45771</v>
      </c>
      <c r="B9" s="1" t="s">
        <v>19</v>
      </c>
      <c r="C9" s="1" t="s">
        <v>6</v>
      </c>
      <c r="D9" s="7">
        <v>43282</v>
      </c>
      <c r="E9" s="6">
        <v>69</v>
      </c>
      <c r="F9" s="1" t="s">
        <v>7</v>
      </c>
      <c r="G9" s="1" t="s">
        <v>11</v>
      </c>
      <c r="H9" s="1" t="s">
        <v>128</v>
      </c>
      <c r="I9" s="1" t="s">
        <v>162</v>
      </c>
      <c r="J9" s="1" t="s">
        <v>162</v>
      </c>
      <c r="K9" s="1" t="s">
        <v>162</v>
      </c>
      <c r="L9" s="1" t="s">
        <v>162</v>
      </c>
      <c r="M9" s="1" t="s">
        <v>162</v>
      </c>
      <c r="N9" s="1" t="s">
        <v>162</v>
      </c>
      <c r="O9" s="3">
        <v>5.0039999999999996</v>
      </c>
      <c r="P9" s="3">
        <v>0</v>
      </c>
      <c r="Q9" s="3">
        <v>0</v>
      </c>
      <c r="R9" s="3">
        <v>4.8869999999999996</v>
      </c>
      <c r="S9" s="3">
        <v>0</v>
      </c>
      <c r="T9" s="1" t="s">
        <v>12</v>
      </c>
      <c r="U9" s="1" t="s">
        <v>162</v>
      </c>
      <c r="V9" s="1" t="s">
        <v>162</v>
      </c>
      <c r="W9" s="1" t="s">
        <v>162</v>
      </c>
      <c r="X9" s="1" t="s">
        <v>162</v>
      </c>
      <c r="Y9" s="1" t="s">
        <v>162</v>
      </c>
      <c r="Z9" s="1" t="s">
        <v>162</v>
      </c>
      <c r="AA9" s="3">
        <v>6.6980000000000004</v>
      </c>
      <c r="AB9" s="3">
        <v>0</v>
      </c>
      <c r="AC9" s="3">
        <v>0</v>
      </c>
      <c r="AD9" s="3">
        <v>1.419</v>
      </c>
      <c r="AE9" s="3">
        <v>8.1890000000000001</v>
      </c>
      <c r="AF9" s="1" t="s">
        <v>9</v>
      </c>
      <c r="AG9" s="1" t="s">
        <v>162</v>
      </c>
      <c r="AH9" s="1" t="s">
        <v>162</v>
      </c>
      <c r="AI9" s="1" t="s">
        <v>162</v>
      </c>
      <c r="AJ9" s="1" t="s">
        <v>162</v>
      </c>
      <c r="AK9" s="1" t="s">
        <v>162</v>
      </c>
      <c r="AL9" s="1" t="s">
        <v>162</v>
      </c>
      <c r="AM9" s="3">
        <v>16.309999999999999</v>
      </c>
      <c r="AN9" s="3">
        <v>0</v>
      </c>
      <c r="AO9" s="3">
        <v>0</v>
      </c>
      <c r="AP9" s="3">
        <v>8.2829999999999995</v>
      </c>
      <c r="AQ9" s="3">
        <v>0</v>
      </c>
      <c r="AR9" s="1" t="s">
        <v>12</v>
      </c>
    </row>
    <row r="10" spans="1:44" ht="15.75" customHeight="1" x14ac:dyDescent="0.2">
      <c r="A10" s="2">
        <v>45771</v>
      </c>
      <c r="B10" s="1" t="s">
        <v>20</v>
      </c>
      <c r="C10" s="1" t="s">
        <v>15</v>
      </c>
      <c r="D10" s="8">
        <v>44336</v>
      </c>
      <c r="E10" s="6">
        <v>34.387</v>
      </c>
      <c r="F10" s="1" t="s">
        <v>7</v>
      </c>
      <c r="G10" s="1" t="s">
        <v>11</v>
      </c>
      <c r="H10" s="1" t="s">
        <v>129</v>
      </c>
      <c r="I10" s="3">
        <v>11.954000000000001</v>
      </c>
      <c r="J10" s="3">
        <v>5.7270000000000003</v>
      </c>
      <c r="K10" s="3">
        <v>2.024</v>
      </c>
      <c r="L10" s="3">
        <v>1.405</v>
      </c>
      <c r="M10" s="3">
        <v>7.9649999999999999</v>
      </c>
      <c r="N10" s="1" t="s">
        <v>9</v>
      </c>
      <c r="O10" s="1" t="s">
        <v>162</v>
      </c>
      <c r="P10" s="1" t="s">
        <v>162</v>
      </c>
      <c r="Q10" s="1" t="s">
        <v>162</v>
      </c>
      <c r="R10" s="1" t="s">
        <v>162</v>
      </c>
      <c r="S10" s="1" t="s">
        <v>162</v>
      </c>
      <c r="T10" s="1" t="s">
        <v>162</v>
      </c>
      <c r="U10" s="3">
        <v>3.9830000000000001</v>
      </c>
      <c r="V10" s="3">
        <v>2.9809999999999999</v>
      </c>
      <c r="W10" s="3">
        <v>1.385</v>
      </c>
      <c r="X10" s="3">
        <v>9.4920000000000009</v>
      </c>
      <c r="Y10" s="3">
        <v>3.98</v>
      </c>
      <c r="Z10" s="1" t="s">
        <v>9</v>
      </c>
      <c r="AA10" s="1" t="s">
        <v>162</v>
      </c>
      <c r="AB10" s="1" t="s">
        <v>162</v>
      </c>
      <c r="AC10" s="1" t="s">
        <v>162</v>
      </c>
      <c r="AD10" s="1" t="s">
        <v>162</v>
      </c>
      <c r="AE10" s="1" t="s">
        <v>162</v>
      </c>
      <c r="AF10" s="1" t="s">
        <v>162</v>
      </c>
      <c r="AG10" s="3">
        <v>7.7290000000000001</v>
      </c>
      <c r="AH10" s="3">
        <v>18.015999999999998</v>
      </c>
      <c r="AI10" s="3">
        <v>4.4359999999999999</v>
      </c>
      <c r="AJ10" s="3">
        <v>1.8759999999999999</v>
      </c>
      <c r="AK10" s="3">
        <v>3.738</v>
      </c>
      <c r="AL10" s="1" t="s">
        <v>9</v>
      </c>
      <c r="AM10" s="1" t="s">
        <v>162</v>
      </c>
      <c r="AN10" s="1" t="s">
        <v>162</v>
      </c>
      <c r="AO10" s="1" t="s">
        <v>162</v>
      </c>
      <c r="AP10" s="1" t="s">
        <v>162</v>
      </c>
      <c r="AQ10" s="1" t="s">
        <v>162</v>
      </c>
      <c r="AR10" s="1" t="s">
        <v>162</v>
      </c>
    </row>
    <row r="11" spans="1:44" ht="15.75" customHeight="1" x14ac:dyDescent="0.2">
      <c r="A11" s="2">
        <v>45771</v>
      </c>
      <c r="B11" s="1" t="s">
        <v>21</v>
      </c>
      <c r="C11" s="1" t="s">
        <v>15</v>
      </c>
      <c r="D11" s="8">
        <v>44809</v>
      </c>
      <c r="E11" s="6">
        <v>18.899999999999999</v>
      </c>
      <c r="F11" s="1" t="s">
        <v>7</v>
      </c>
      <c r="G11" s="1" t="s">
        <v>11</v>
      </c>
      <c r="H11" s="1" t="s">
        <v>130</v>
      </c>
      <c r="I11" s="3">
        <v>17.411999999999999</v>
      </c>
      <c r="J11" s="3">
        <v>15.609</v>
      </c>
      <c r="K11" s="3">
        <v>3.895</v>
      </c>
      <c r="L11" s="3">
        <v>3.0089999999999999</v>
      </c>
      <c r="M11" s="3">
        <v>12.082000000000001</v>
      </c>
      <c r="N11" s="1" t="s">
        <v>12</v>
      </c>
      <c r="O11" s="1" t="s">
        <v>162</v>
      </c>
      <c r="P11" s="1" t="s">
        <v>162</v>
      </c>
      <c r="Q11" s="1" t="s">
        <v>162</v>
      </c>
      <c r="R11" s="1" t="s">
        <v>162</v>
      </c>
      <c r="S11" s="1" t="s">
        <v>162</v>
      </c>
      <c r="T11" s="1" t="s">
        <v>162</v>
      </c>
      <c r="U11" s="3">
        <v>23.324000000000002</v>
      </c>
      <c r="V11" s="3">
        <v>9.5649999999999995</v>
      </c>
      <c r="W11" s="3">
        <v>4.2560000000000002</v>
      </c>
      <c r="X11" s="3">
        <v>2.1909999999999998</v>
      </c>
      <c r="Y11" s="3">
        <v>2.375</v>
      </c>
      <c r="Z11" s="1" t="s">
        <v>12</v>
      </c>
      <c r="AA11" s="1" t="s">
        <v>162</v>
      </c>
      <c r="AB11" s="1" t="s">
        <v>162</v>
      </c>
      <c r="AC11" s="1" t="s">
        <v>162</v>
      </c>
      <c r="AD11" s="1" t="s">
        <v>162</v>
      </c>
      <c r="AE11" s="1" t="s">
        <v>162</v>
      </c>
      <c r="AF11" s="1" t="s">
        <v>162</v>
      </c>
      <c r="AG11" s="3">
        <v>17.158000000000001</v>
      </c>
      <c r="AH11" s="3">
        <v>14.595000000000001</v>
      </c>
      <c r="AI11" s="3">
        <v>4.2350000000000003</v>
      </c>
      <c r="AJ11" s="3">
        <v>6.1</v>
      </c>
      <c r="AK11" s="3">
        <v>1.2649999999999999</v>
      </c>
      <c r="AL11" s="1" t="s">
        <v>12</v>
      </c>
      <c r="AM11" s="1" t="s">
        <v>162</v>
      </c>
      <c r="AN11" s="1" t="s">
        <v>162</v>
      </c>
      <c r="AO11" s="1" t="s">
        <v>162</v>
      </c>
      <c r="AP11" s="1" t="s">
        <v>162</v>
      </c>
      <c r="AQ11" s="1" t="s">
        <v>162</v>
      </c>
      <c r="AR11" s="1" t="s">
        <v>162</v>
      </c>
    </row>
    <row r="12" spans="1:44" ht="15.75" customHeight="1" x14ac:dyDescent="0.2">
      <c r="A12" s="2">
        <v>45771</v>
      </c>
      <c r="B12" s="1" t="s">
        <v>22</v>
      </c>
      <c r="C12" s="1" t="s">
        <v>15</v>
      </c>
      <c r="D12" s="7">
        <v>44256</v>
      </c>
      <c r="E12" s="6">
        <v>37</v>
      </c>
      <c r="F12" s="1" t="s">
        <v>7</v>
      </c>
      <c r="G12" s="1" t="s">
        <v>8</v>
      </c>
      <c r="H12" s="1" t="s">
        <v>149</v>
      </c>
      <c r="I12" s="3">
        <v>7.7919999999999998</v>
      </c>
      <c r="J12" s="3">
        <v>12.295999999999999</v>
      </c>
      <c r="K12" s="3">
        <v>4.8719999999999999</v>
      </c>
      <c r="L12" s="3">
        <v>0.90800000000000003</v>
      </c>
      <c r="M12" s="3">
        <v>11.475</v>
      </c>
      <c r="N12" s="1" t="s">
        <v>9</v>
      </c>
      <c r="O12" s="1" t="s">
        <v>162</v>
      </c>
      <c r="P12" s="1" t="s">
        <v>162</v>
      </c>
      <c r="Q12" s="1" t="s">
        <v>162</v>
      </c>
      <c r="R12" s="1" t="s">
        <v>162</v>
      </c>
      <c r="S12" s="1" t="s">
        <v>162</v>
      </c>
      <c r="T12" s="1" t="s">
        <v>162</v>
      </c>
      <c r="U12" s="3">
        <v>15.622999999999999</v>
      </c>
      <c r="V12" s="3">
        <v>8.2650000000000006</v>
      </c>
      <c r="W12" s="3">
        <v>2.9079999999999999</v>
      </c>
      <c r="X12" s="3">
        <v>10.627000000000001</v>
      </c>
      <c r="Y12" s="3">
        <v>3.7530000000000001</v>
      </c>
      <c r="Z12" s="1" t="s">
        <v>12</v>
      </c>
      <c r="AA12" s="1" t="s">
        <v>162</v>
      </c>
      <c r="AB12" s="1" t="s">
        <v>162</v>
      </c>
      <c r="AC12" s="1" t="s">
        <v>162</v>
      </c>
      <c r="AD12" s="1" t="s">
        <v>162</v>
      </c>
      <c r="AE12" s="1" t="s">
        <v>162</v>
      </c>
      <c r="AF12" s="1" t="s">
        <v>162</v>
      </c>
      <c r="AG12" s="3">
        <v>22.231999999999999</v>
      </c>
      <c r="AH12" s="3">
        <v>13.662000000000001</v>
      </c>
      <c r="AI12" s="3">
        <v>4.0540000000000003</v>
      </c>
      <c r="AJ12" s="3">
        <v>1.9259999999999999</v>
      </c>
      <c r="AK12" s="3">
        <v>8.9130000000000003</v>
      </c>
      <c r="AL12" s="1" t="s">
        <v>9</v>
      </c>
      <c r="AM12" s="1" t="s">
        <v>162</v>
      </c>
      <c r="AN12" s="1" t="s">
        <v>162</v>
      </c>
      <c r="AO12" s="1" t="s">
        <v>162</v>
      </c>
      <c r="AP12" s="1" t="s">
        <v>162</v>
      </c>
      <c r="AQ12" s="1" t="s">
        <v>162</v>
      </c>
      <c r="AR12" s="1" t="s">
        <v>162</v>
      </c>
    </row>
    <row r="13" spans="1:44" ht="15.75" customHeight="1" x14ac:dyDescent="0.2">
      <c r="A13" s="2">
        <v>45771</v>
      </c>
      <c r="B13" s="1" t="s">
        <v>23</v>
      </c>
      <c r="C13" s="1" t="s">
        <v>15</v>
      </c>
      <c r="D13" s="7">
        <v>44682</v>
      </c>
      <c r="E13" s="6">
        <v>23</v>
      </c>
      <c r="F13" s="1" t="s">
        <v>7</v>
      </c>
      <c r="G13" s="1" t="s">
        <v>8</v>
      </c>
      <c r="H13" s="1" t="s">
        <v>131</v>
      </c>
      <c r="I13" s="3">
        <v>9.6769999999999996</v>
      </c>
      <c r="J13" s="3">
        <v>9.7159999999999993</v>
      </c>
      <c r="K13" s="3">
        <v>1.4</v>
      </c>
      <c r="L13" s="3">
        <v>2.8769999999999998</v>
      </c>
      <c r="M13" s="3">
        <v>4.2610000000000001</v>
      </c>
      <c r="N13" s="1" t="s">
        <v>12</v>
      </c>
      <c r="O13" s="1" t="s">
        <v>162</v>
      </c>
      <c r="P13" s="1" t="s">
        <v>162</v>
      </c>
      <c r="Q13" s="1" t="s">
        <v>162</v>
      </c>
      <c r="R13" s="1" t="s">
        <v>162</v>
      </c>
      <c r="S13" s="1" t="s">
        <v>162</v>
      </c>
      <c r="T13" s="1" t="s">
        <v>162</v>
      </c>
      <c r="U13" s="3">
        <v>6.7519999999999998</v>
      </c>
      <c r="V13" s="3">
        <v>6.335</v>
      </c>
      <c r="W13" s="3">
        <v>2.657</v>
      </c>
      <c r="X13" s="3">
        <v>1.8140000000000001</v>
      </c>
      <c r="Y13" s="3">
        <v>2.8809999999999998</v>
      </c>
      <c r="Z13" s="1" t="s">
        <v>12</v>
      </c>
      <c r="AA13" s="1" t="s">
        <v>162</v>
      </c>
      <c r="AB13" s="1" t="s">
        <v>162</v>
      </c>
      <c r="AC13" s="1" t="s">
        <v>162</v>
      </c>
      <c r="AD13" s="1" t="s">
        <v>162</v>
      </c>
      <c r="AE13" s="1" t="s">
        <v>162</v>
      </c>
      <c r="AF13" s="1" t="s">
        <v>162</v>
      </c>
      <c r="AG13" s="3">
        <v>7.407</v>
      </c>
      <c r="AH13" s="3">
        <v>5.3559999999999999</v>
      </c>
      <c r="AI13" s="3">
        <v>1.6830000000000001</v>
      </c>
      <c r="AJ13" s="3">
        <v>3.86</v>
      </c>
      <c r="AK13" s="3">
        <v>7.7190000000000003</v>
      </c>
      <c r="AL13" s="1" t="s">
        <v>12</v>
      </c>
      <c r="AM13" s="1" t="s">
        <v>162</v>
      </c>
      <c r="AN13" s="1" t="s">
        <v>162</v>
      </c>
      <c r="AO13" s="1" t="s">
        <v>162</v>
      </c>
      <c r="AP13" s="1" t="s">
        <v>162</v>
      </c>
      <c r="AQ13" s="1" t="s">
        <v>162</v>
      </c>
      <c r="AR13" s="1" t="s">
        <v>162</v>
      </c>
    </row>
    <row r="14" spans="1:44" ht="15.75" customHeight="1" x14ac:dyDescent="0.2">
      <c r="A14" s="2">
        <v>45771</v>
      </c>
      <c r="B14" s="1" t="s">
        <v>24</v>
      </c>
      <c r="C14" s="1" t="s">
        <v>15</v>
      </c>
      <c r="D14" s="7">
        <v>42767</v>
      </c>
      <c r="E14" s="6">
        <v>86</v>
      </c>
      <c r="F14" s="1" t="s">
        <v>7</v>
      </c>
      <c r="G14" s="1" t="s">
        <v>8</v>
      </c>
      <c r="H14" s="1" t="s">
        <v>132</v>
      </c>
      <c r="I14" s="3">
        <v>3.9830000000000001</v>
      </c>
      <c r="J14" s="3">
        <v>1.702</v>
      </c>
      <c r="K14" s="3">
        <v>3.6070000000000002</v>
      </c>
      <c r="L14" s="3">
        <v>1.673</v>
      </c>
      <c r="M14" s="3">
        <v>3.2290000000000001</v>
      </c>
      <c r="N14" s="1" t="s">
        <v>9</v>
      </c>
      <c r="O14" s="1" t="s">
        <v>162</v>
      </c>
      <c r="P14" s="1" t="s">
        <v>162</v>
      </c>
      <c r="Q14" s="1" t="s">
        <v>162</v>
      </c>
      <c r="R14" s="1" t="s">
        <v>162</v>
      </c>
      <c r="S14" s="1" t="s">
        <v>162</v>
      </c>
      <c r="T14" s="1" t="s">
        <v>162</v>
      </c>
      <c r="U14" s="3">
        <v>1.6020000000000001</v>
      </c>
      <c r="V14" s="3">
        <v>2.306</v>
      </c>
      <c r="W14" s="3">
        <v>7.4640000000000004</v>
      </c>
      <c r="X14" s="3">
        <v>11.85</v>
      </c>
      <c r="Y14" s="3">
        <v>9.8149999999999995</v>
      </c>
      <c r="Z14" s="1" t="s">
        <v>12</v>
      </c>
      <c r="AA14" s="1" t="s">
        <v>162</v>
      </c>
      <c r="AB14" s="1" t="s">
        <v>162</v>
      </c>
      <c r="AC14" s="1" t="s">
        <v>162</v>
      </c>
      <c r="AD14" s="1" t="s">
        <v>162</v>
      </c>
      <c r="AE14" s="1" t="s">
        <v>162</v>
      </c>
      <c r="AF14" s="1" t="s">
        <v>162</v>
      </c>
      <c r="AG14" s="3">
        <v>15.71</v>
      </c>
      <c r="AH14" s="3">
        <v>4.3959999999999999</v>
      </c>
      <c r="AI14" s="3">
        <v>2.008</v>
      </c>
      <c r="AJ14" s="3">
        <v>1.3380000000000001</v>
      </c>
      <c r="AK14" s="3">
        <v>2.3580000000000001</v>
      </c>
      <c r="AL14" s="1" t="s">
        <v>12</v>
      </c>
      <c r="AM14" s="1" t="s">
        <v>162</v>
      </c>
      <c r="AN14" s="1" t="s">
        <v>162</v>
      </c>
      <c r="AO14" s="1" t="s">
        <v>162</v>
      </c>
      <c r="AP14" s="1" t="s">
        <v>162</v>
      </c>
      <c r="AQ14" s="1" t="s">
        <v>162</v>
      </c>
      <c r="AR14" s="1" t="s">
        <v>162</v>
      </c>
    </row>
    <row r="15" spans="1:44" ht="15.75" customHeight="1" x14ac:dyDescent="0.2">
      <c r="A15" s="2">
        <v>45771</v>
      </c>
      <c r="B15" s="1" t="s">
        <v>25</v>
      </c>
      <c r="C15" s="1" t="s">
        <v>6</v>
      </c>
      <c r="D15" s="7">
        <v>40330</v>
      </c>
      <c r="E15" s="6">
        <v>166</v>
      </c>
      <c r="F15" s="1" t="s">
        <v>7</v>
      </c>
      <c r="G15" s="1" t="s">
        <v>11</v>
      </c>
      <c r="H15" s="1" t="s">
        <v>133</v>
      </c>
      <c r="I15" s="3">
        <v>1.296</v>
      </c>
      <c r="J15" s="3">
        <v>0</v>
      </c>
      <c r="K15" s="3">
        <v>0</v>
      </c>
      <c r="L15" s="3">
        <v>5.1130000000000004</v>
      </c>
      <c r="M15" s="3">
        <v>4.2450000000000001</v>
      </c>
      <c r="N15" s="1" t="s">
        <v>9</v>
      </c>
      <c r="O15" s="1" t="s">
        <v>162</v>
      </c>
      <c r="P15" s="1" t="s">
        <v>162</v>
      </c>
      <c r="Q15" s="1" t="s">
        <v>162</v>
      </c>
      <c r="R15" s="1" t="s">
        <v>162</v>
      </c>
      <c r="S15" s="1" t="s">
        <v>162</v>
      </c>
      <c r="T15" s="1" t="s">
        <v>162</v>
      </c>
      <c r="U15" s="3">
        <v>5.9429999999999996</v>
      </c>
      <c r="V15" s="3">
        <v>0.69</v>
      </c>
      <c r="W15" s="3">
        <v>0.19600000000000001</v>
      </c>
      <c r="X15" s="3">
        <v>1.288</v>
      </c>
      <c r="Y15" s="3">
        <v>1.877</v>
      </c>
      <c r="Z15" s="1" t="s">
        <v>9</v>
      </c>
      <c r="AA15" s="1" t="s">
        <v>162</v>
      </c>
      <c r="AB15" s="1" t="s">
        <v>162</v>
      </c>
      <c r="AC15" s="1" t="s">
        <v>162</v>
      </c>
      <c r="AD15" s="1" t="s">
        <v>162</v>
      </c>
      <c r="AE15" s="1" t="s">
        <v>162</v>
      </c>
      <c r="AF15" s="1" t="s">
        <v>162</v>
      </c>
      <c r="AG15" s="3">
        <v>2.3410000000000002</v>
      </c>
      <c r="AH15" s="3">
        <v>0.86899999999999999</v>
      </c>
      <c r="AI15" s="3">
        <v>0.77700000000000002</v>
      </c>
      <c r="AJ15" s="3">
        <v>1.105</v>
      </c>
      <c r="AK15" s="3">
        <v>1.9019999999999999</v>
      </c>
      <c r="AL15" s="1" t="s">
        <v>12</v>
      </c>
      <c r="AM15" s="1" t="s">
        <v>162</v>
      </c>
      <c r="AN15" s="1" t="s">
        <v>162</v>
      </c>
      <c r="AO15" s="1" t="s">
        <v>162</v>
      </c>
      <c r="AP15" s="1" t="s">
        <v>162</v>
      </c>
      <c r="AQ15" s="1" t="s">
        <v>162</v>
      </c>
      <c r="AR15" s="1" t="s">
        <v>162</v>
      </c>
    </row>
    <row r="16" spans="1:44" ht="15.75" customHeight="1" x14ac:dyDescent="0.2">
      <c r="A16" s="4">
        <v>45985</v>
      </c>
      <c r="B16" s="1" t="s">
        <v>26</v>
      </c>
      <c r="C16" s="1" t="s">
        <v>15</v>
      </c>
      <c r="D16" s="8">
        <v>43827</v>
      </c>
      <c r="E16" s="6">
        <v>58.128999999999998</v>
      </c>
      <c r="F16" s="1" t="s">
        <v>7</v>
      </c>
      <c r="G16" s="1" t="s">
        <v>8</v>
      </c>
      <c r="H16" s="1" t="s">
        <v>134</v>
      </c>
      <c r="I16" s="1" t="s">
        <v>162</v>
      </c>
      <c r="J16" s="1" t="s">
        <v>162</v>
      </c>
      <c r="K16" s="1" t="s">
        <v>162</v>
      </c>
      <c r="L16" s="1" t="s">
        <v>162</v>
      </c>
      <c r="M16" s="1" t="s">
        <v>162</v>
      </c>
      <c r="N16" s="1" t="s">
        <v>162</v>
      </c>
      <c r="O16" s="3">
        <v>6.62</v>
      </c>
      <c r="P16" s="3">
        <v>0</v>
      </c>
      <c r="Q16" s="3">
        <v>0</v>
      </c>
      <c r="R16" s="3">
        <v>2.4910000000000001</v>
      </c>
      <c r="S16" s="3">
        <v>1.2450000000000001</v>
      </c>
      <c r="T16" s="1" t="s">
        <v>12</v>
      </c>
      <c r="U16" s="1" t="s">
        <v>162</v>
      </c>
      <c r="V16" s="1" t="s">
        <v>162</v>
      </c>
      <c r="W16" s="1" t="s">
        <v>162</v>
      </c>
      <c r="X16" s="1" t="s">
        <v>162</v>
      </c>
      <c r="Y16" s="1" t="s">
        <v>162</v>
      </c>
      <c r="Z16" s="1" t="s">
        <v>162</v>
      </c>
      <c r="AA16" s="3">
        <v>6.8479999999999999</v>
      </c>
      <c r="AB16" s="3">
        <v>0</v>
      </c>
      <c r="AC16" s="3">
        <v>0</v>
      </c>
      <c r="AD16" s="3">
        <v>3.1070000000000002</v>
      </c>
      <c r="AE16" s="3">
        <v>2.0459999999999998</v>
      </c>
      <c r="AF16" s="1" t="s">
        <v>12</v>
      </c>
      <c r="AG16" s="1" t="s">
        <v>162</v>
      </c>
      <c r="AH16" s="1" t="s">
        <v>162</v>
      </c>
      <c r="AI16" s="1" t="s">
        <v>162</v>
      </c>
      <c r="AJ16" s="1" t="s">
        <v>162</v>
      </c>
      <c r="AK16" s="1" t="s">
        <v>162</v>
      </c>
      <c r="AL16" s="1" t="s">
        <v>162</v>
      </c>
      <c r="AM16" s="3">
        <v>5.9779999999999998</v>
      </c>
      <c r="AN16" s="3">
        <v>0</v>
      </c>
      <c r="AO16" s="3">
        <v>1.302</v>
      </c>
      <c r="AP16" s="3">
        <v>1.984</v>
      </c>
      <c r="AQ16" s="3">
        <v>0.88100000000000001</v>
      </c>
      <c r="AR16" s="1" t="s">
        <v>9</v>
      </c>
    </row>
    <row r="17" spans="1:44" ht="15.75" customHeight="1" x14ac:dyDescent="0.2">
      <c r="A17" s="4">
        <v>45985</v>
      </c>
      <c r="B17" s="1" t="s">
        <v>27</v>
      </c>
      <c r="C17" s="1" t="s">
        <v>6</v>
      </c>
      <c r="D17" s="8">
        <v>44629</v>
      </c>
      <c r="E17" s="6">
        <v>31.742000000000001</v>
      </c>
      <c r="F17" s="1" t="s">
        <v>7</v>
      </c>
      <c r="G17" s="1" t="s">
        <v>8</v>
      </c>
      <c r="H17" s="1" t="s">
        <v>135</v>
      </c>
      <c r="I17" s="3">
        <v>4.5949999999999998</v>
      </c>
      <c r="J17" s="3">
        <v>1.0620000000000001</v>
      </c>
      <c r="K17" s="3">
        <v>0.45500000000000002</v>
      </c>
      <c r="L17" s="3">
        <v>5.1890000000000001</v>
      </c>
      <c r="M17" s="3">
        <v>5.6180000000000003</v>
      </c>
      <c r="N17" s="1" t="s">
        <v>12</v>
      </c>
      <c r="O17" s="1" t="s">
        <v>162</v>
      </c>
      <c r="P17" s="1" t="s">
        <v>162</v>
      </c>
      <c r="Q17" s="1" t="s">
        <v>162</v>
      </c>
      <c r="R17" s="1" t="s">
        <v>162</v>
      </c>
      <c r="S17" s="1" t="s">
        <v>162</v>
      </c>
      <c r="T17" s="1" t="s">
        <v>162</v>
      </c>
      <c r="U17" s="3">
        <v>1.56</v>
      </c>
      <c r="V17" s="3">
        <v>0.77600000000000002</v>
      </c>
      <c r="W17" s="3">
        <v>1.331</v>
      </c>
      <c r="X17" s="3">
        <v>0.98199999999999998</v>
      </c>
      <c r="Y17" s="3">
        <v>2.0630000000000002</v>
      </c>
      <c r="Z17" s="1" t="s">
        <v>9</v>
      </c>
      <c r="AA17" s="1" t="s">
        <v>162</v>
      </c>
      <c r="AB17" s="1" t="s">
        <v>162</v>
      </c>
      <c r="AC17" s="1" t="s">
        <v>162</v>
      </c>
      <c r="AD17" s="1" t="s">
        <v>162</v>
      </c>
      <c r="AE17" s="1" t="s">
        <v>162</v>
      </c>
      <c r="AF17" s="1" t="s">
        <v>162</v>
      </c>
      <c r="AG17" s="3">
        <v>5.391</v>
      </c>
      <c r="AH17" s="3">
        <v>4.1050000000000004</v>
      </c>
      <c r="AI17" s="3">
        <v>2.4239999999999999</v>
      </c>
      <c r="AJ17" s="3">
        <v>1.161</v>
      </c>
      <c r="AK17" s="3">
        <v>1.0900000000000001</v>
      </c>
      <c r="AL17" s="1" t="s">
        <v>12</v>
      </c>
      <c r="AM17" s="1" t="s">
        <v>162</v>
      </c>
      <c r="AN17" s="1" t="s">
        <v>162</v>
      </c>
      <c r="AO17" s="1" t="s">
        <v>162</v>
      </c>
      <c r="AP17" s="1" t="s">
        <v>162</v>
      </c>
      <c r="AQ17" s="1" t="s">
        <v>162</v>
      </c>
      <c r="AR17" s="1" t="s">
        <v>162</v>
      </c>
    </row>
    <row r="18" spans="1:44" ht="15.75" customHeight="1" x14ac:dyDescent="0.2">
      <c r="A18" s="4">
        <v>45985</v>
      </c>
      <c r="B18" s="1" t="s">
        <v>28</v>
      </c>
      <c r="C18" s="1" t="s">
        <v>6</v>
      </c>
      <c r="D18" s="7">
        <v>44075</v>
      </c>
      <c r="E18" s="6">
        <v>50</v>
      </c>
      <c r="F18" s="1" t="s">
        <v>7</v>
      </c>
      <c r="G18" s="1" t="s">
        <v>8</v>
      </c>
      <c r="H18" s="1" t="s">
        <v>136</v>
      </c>
      <c r="I18" s="1" t="s">
        <v>162</v>
      </c>
      <c r="J18" s="1" t="s">
        <v>162</v>
      </c>
      <c r="K18" s="1" t="s">
        <v>162</v>
      </c>
      <c r="L18" s="1" t="s">
        <v>162</v>
      </c>
      <c r="M18" s="1" t="s">
        <v>162</v>
      </c>
      <c r="N18" s="1" t="s">
        <v>162</v>
      </c>
      <c r="O18" s="3">
        <v>1.99</v>
      </c>
      <c r="P18" s="3">
        <v>4.4349999999999996</v>
      </c>
      <c r="Q18" s="3">
        <v>2.35</v>
      </c>
      <c r="R18" s="3">
        <v>7.3819999999999997</v>
      </c>
      <c r="S18" s="3">
        <v>6.5590000000000002</v>
      </c>
      <c r="T18" s="1" t="s">
        <v>12</v>
      </c>
      <c r="U18" s="1" t="s">
        <v>162</v>
      </c>
      <c r="V18" s="1" t="s">
        <v>162</v>
      </c>
      <c r="W18" s="1" t="s">
        <v>162</v>
      </c>
      <c r="X18" s="1" t="s">
        <v>162</v>
      </c>
      <c r="Y18" s="1" t="s">
        <v>162</v>
      </c>
      <c r="Z18" s="1" t="s">
        <v>162</v>
      </c>
      <c r="AA18" s="3">
        <v>1.9970000000000001</v>
      </c>
      <c r="AB18" s="3">
        <v>2.4529999999999998</v>
      </c>
      <c r="AC18" s="3">
        <v>4.2779999999999996</v>
      </c>
      <c r="AD18" s="3">
        <v>0.65</v>
      </c>
      <c r="AE18" s="3">
        <v>2.403</v>
      </c>
      <c r="AF18" s="1" t="s">
        <v>9</v>
      </c>
      <c r="AG18" s="10" t="s">
        <v>162</v>
      </c>
      <c r="AH18" s="10" t="s">
        <v>162</v>
      </c>
      <c r="AI18" s="10" t="s">
        <v>162</v>
      </c>
      <c r="AJ18" s="10" t="s">
        <v>162</v>
      </c>
      <c r="AK18" s="10" t="s">
        <v>162</v>
      </c>
      <c r="AL18" s="10" t="s">
        <v>162</v>
      </c>
      <c r="AM18" s="10" t="s">
        <v>162</v>
      </c>
      <c r="AN18" s="10" t="s">
        <v>162</v>
      </c>
      <c r="AO18" s="10" t="s">
        <v>162</v>
      </c>
      <c r="AP18" s="10" t="s">
        <v>162</v>
      </c>
      <c r="AQ18" s="10" t="s">
        <v>162</v>
      </c>
      <c r="AR18" s="10" t="s">
        <v>162</v>
      </c>
    </row>
    <row r="19" spans="1:44" ht="15.75" customHeight="1" x14ac:dyDescent="0.2">
      <c r="A19" s="4">
        <v>45985</v>
      </c>
      <c r="B19" s="1" t="s">
        <v>29</v>
      </c>
      <c r="C19" s="1" t="s">
        <v>6</v>
      </c>
      <c r="D19" s="8">
        <v>43282</v>
      </c>
      <c r="E19" s="6">
        <v>76</v>
      </c>
      <c r="F19" s="1" t="s">
        <v>7</v>
      </c>
      <c r="G19" s="1" t="s">
        <v>8</v>
      </c>
      <c r="H19" s="1" t="s">
        <v>150</v>
      </c>
      <c r="I19" s="3">
        <v>9.75</v>
      </c>
      <c r="J19" s="3">
        <v>8.1959999999999997</v>
      </c>
      <c r="K19" s="3">
        <v>1.742</v>
      </c>
      <c r="L19" s="3">
        <v>5.5490000000000004</v>
      </c>
      <c r="M19" s="3">
        <v>7.3040000000000003</v>
      </c>
      <c r="N19" s="1" t="s">
        <v>12</v>
      </c>
      <c r="O19" s="1" t="s">
        <v>162</v>
      </c>
      <c r="P19" s="1" t="s">
        <v>162</v>
      </c>
      <c r="Q19" s="1" t="s">
        <v>162</v>
      </c>
      <c r="R19" s="1" t="s">
        <v>162</v>
      </c>
      <c r="S19" s="1" t="s">
        <v>162</v>
      </c>
      <c r="T19" s="1" t="s">
        <v>162</v>
      </c>
      <c r="U19" s="3">
        <v>10.382999999999999</v>
      </c>
      <c r="V19" s="3">
        <v>0.88600000000000001</v>
      </c>
      <c r="W19" s="3">
        <v>0.76</v>
      </c>
      <c r="X19" s="3">
        <v>4.4729999999999999</v>
      </c>
      <c r="Y19" s="3">
        <v>14.117000000000001</v>
      </c>
      <c r="Z19" s="1" t="s">
        <v>12</v>
      </c>
      <c r="AA19" s="1" t="s">
        <v>162</v>
      </c>
      <c r="AB19" s="1" t="s">
        <v>162</v>
      </c>
      <c r="AC19" s="1" t="s">
        <v>162</v>
      </c>
      <c r="AD19" s="1" t="s">
        <v>162</v>
      </c>
      <c r="AE19" s="1" t="s">
        <v>162</v>
      </c>
      <c r="AF19" s="1" t="s">
        <v>162</v>
      </c>
      <c r="AG19" s="3">
        <v>2.3319999999999999</v>
      </c>
      <c r="AH19" s="3">
        <v>1.2769999999999999</v>
      </c>
      <c r="AI19" s="3">
        <v>0.41399999999999998</v>
      </c>
      <c r="AJ19" s="3">
        <v>0</v>
      </c>
      <c r="AK19" s="3">
        <v>4.1180000000000003</v>
      </c>
      <c r="AL19" s="1" t="s">
        <v>9</v>
      </c>
      <c r="AM19" s="1" t="s">
        <v>162</v>
      </c>
      <c r="AN19" s="1" t="s">
        <v>162</v>
      </c>
      <c r="AO19" s="1" t="s">
        <v>162</v>
      </c>
      <c r="AP19" s="1" t="s">
        <v>162</v>
      </c>
      <c r="AQ19" s="1" t="s">
        <v>162</v>
      </c>
      <c r="AR19" s="1" t="s">
        <v>162</v>
      </c>
    </row>
    <row r="20" spans="1:44" ht="15.75" customHeight="1" x14ac:dyDescent="0.2">
      <c r="A20" s="4">
        <v>45985</v>
      </c>
      <c r="B20" s="1" t="s">
        <v>30</v>
      </c>
      <c r="C20" s="1" t="s">
        <v>15</v>
      </c>
      <c r="D20" s="7">
        <v>41730</v>
      </c>
      <c r="E20" s="6">
        <v>127</v>
      </c>
      <c r="F20" s="1" t="s">
        <v>7</v>
      </c>
      <c r="G20" s="1" t="s">
        <v>8</v>
      </c>
      <c r="H20" s="1" t="s">
        <v>138</v>
      </c>
      <c r="I20" s="3">
        <v>1.0980000000000001</v>
      </c>
      <c r="J20" s="3">
        <v>0.79</v>
      </c>
      <c r="K20" s="3">
        <v>0</v>
      </c>
      <c r="L20" s="3">
        <v>0.78900000000000003</v>
      </c>
      <c r="M20" s="3">
        <v>0.63200000000000001</v>
      </c>
      <c r="N20" s="1" t="s">
        <v>12</v>
      </c>
      <c r="O20" s="1" t="s">
        <v>162</v>
      </c>
      <c r="P20" s="1" t="s">
        <v>162</v>
      </c>
      <c r="Q20" s="1" t="s">
        <v>162</v>
      </c>
      <c r="R20" s="1" t="s">
        <v>162</v>
      </c>
      <c r="S20" s="1" t="s">
        <v>162</v>
      </c>
      <c r="T20" s="1" t="s">
        <v>162</v>
      </c>
      <c r="U20" s="3">
        <v>1.5640000000000001</v>
      </c>
      <c r="V20" s="3">
        <v>1.548</v>
      </c>
      <c r="W20" s="3">
        <v>1.2450000000000001</v>
      </c>
      <c r="X20" s="3">
        <v>0</v>
      </c>
      <c r="Y20" s="3">
        <v>0.81699999999999995</v>
      </c>
      <c r="Z20" s="1" t="s">
        <v>9</v>
      </c>
      <c r="AA20" s="1" t="s">
        <v>162</v>
      </c>
      <c r="AB20" s="1" t="s">
        <v>162</v>
      </c>
      <c r="AC20" s="1" t="s">
        <v>162</v>
      </c>
      <c r="AD20" s="1" t="s">
        <v>162</v>
      </c>
      <c r="AE20" s="1" t="s">
        <v>162</v>
      </c>
      <c r="AF20" s="1" t="s">
        <v>162</v>
      </c>
      <c r="AG20" s="3">
        <v>2.4489999999999998</v>
      </c>
      <c r="AH20" s="3">
        <v>1.0840000000000001</v>
      </c>
      <c r="AI20" s="3">
        <v>0.80100000000000005</v>
      </c>
      <c r="AJ20" s="3">
        <v>0.60799999999999998</v>
      </c>
      <c r="AK20" s="3">
        <v>2.258</v>
      </c>
      <c r="AL20" s="1" t="s">
        <v>9</v>
      </c>
      <c r="AM20" s="1" t="s">
        <v>162</v>
      </c>
      <c r="AN20" s="1" t="s">
        <v>162</v>
      </c>
      <c r="AO20" s="1" t="s">
        <v>162</v>
      </c>
      <c r="AP20" s="1" t="s">
        <v>162</v>
      </c>
      <c r="AQ20" s="1" t="s">
        <v>162</v>
      </c>
      <c r="AR20" s="1" t="s">
        <v>162</v>
      </c>
    </row>
    <row r="21" spans="1:44" ht="15.75" customHeight="1" x14ac:dyDescent="0.2">
      <c r="A21" s="4">
        <v>45985</v>
      </c>
      <c r="B21" s="1" t="s">
        <v>31</v>
      </c>
      <c r="C21" s="1" t="s">
        <v>15</v>
      </c>
      <c r="D21" s="7">
        <v>44136</v>
      </c>
      <c r="E21" s="6">
        <v>48</v>
      </c>
      <c r="F21" s="1" t="s">
        <v>7</v>
      </c>
      <c r="G21" s="1" t="s">
        <v>11</v>
      </c>
      <c r="H21" s="1" t="s">
        <v>137</v>
      </c>
      <c r="I21" s="1" t="s">
        <v>162</v>
      </c>
      <c r="J21" s="1" t="s">
        <v>162</v>
      </c>
      <c r="K21" s="1" t="s">
        <v>162</v>
      </c>
      <c r="L21" s="1" t="s">
        <v>162</v>
      </c>
      <c r="M21" s="1" t="s">
        <v>162</v>
      </c>
      <c r="N21" s="1" t="s">
        <v>162</v>
      </c>
      <c r="O21" s="3">
        <v>9.1780000000000008</v>
      </c>
      <c r="P21" s="3">
        <v>0</v>
      </c>
      <c r="Q21" s="3">
        <v>0</v>
      </c>
      <c r="R21" s="3">
        <v>1.9179999999999999</v>
      </c>
      <c r="S21" s="3">
        <v>1.621</v>
      </c>
      <c r="T21" s="1" t="s">
        <v>9</v>
      </c>
      <c r="U21" s="1" t="s">
        <v>162</v>
      </c>
      <c r="V21" s="1" t="s">
        <v>162</v>
      </c>
      <c r="W21" s="1" t="s">
        <v>162</v>
      </c>
      <c r="X21" s="1" t="s">
        <v>162</v>
      </c>
      <c r="Y21" s="1" t="s">
        <v>162</v>
      </c>
      <c r="Z21" s="1" t="s">
        <v>162</v>
      </c>
      <c r="AA21" s="3">
        <v>11.978</v>
      </c>
      <c r="AB21" s="3">
        <v>0</v>
      </c>
      <c r="AC21" s="3">
        <v>0</v>
      </c>
      <c r="AD21" s="3">
        <v>9.8309999999999995</v>
      </c>
      <c r="AE21" s="3">
        <v>0</v>
      </c>
      <c r="AF21" s="1" t="s">
        <v>12</v>
      </c>
      <c r="AG21" s="1" t="s">
        <v>162</v>
      </c>
      <c r="AH21" s="1" t="s">
        <v>162</v>
      </c>
      <c r="AI21" s="1" t="s">
        <v>162</v>
      </c>
      <c r="AJ21" s="1" t="s">
        <v>162</v>
      </c>
      <c r="AK21" s="1" t="s">
        <v>162</v>
      </c>
      <c r="AL21" s="1" t="s">
        <v>162</v>
      </c>
      <c r="AM21" s="3">
        <v>3.4540000000000002</v>
      </c>
      <c r="AN21" s="3">
        <v>2.4369999999999998</v>
      </c>
      <c r="AO21" s="3">
        <v>2.6989999999999998</v>
      </c>
      <c r="AP21" s="3">
        <v>7.8310000000000004</v>
      </c>
      <c r="AQ21" s="3">
        <v>13.85</v>
      </c>
      <c r="AR21" s="1" t="s">
        <v>12</v>
      </c>
    </row>
    <row r="22" spans="1:44" ht="15.75" customHeight="1" x14ac:dyDescent="0.2">
      <c r="A22" s="4">
        <v>45985</v>
      </c>
      <c r="B22" s="1" t="s">
        <v>32</v>
      </c>
      <c r="C22" s="1" t="s">
        <v>15</v>
      </c>
      <c r="D22" s="7">
        <v>41395</v>
      </c>
      <c r="E22" s="6">
        <v>138</v>
      </c>
      <c r="F22" s="1" t="s">
        <v>7</v>
      </c>
      <c r="G22" s="1" t="s">
        <v>8</v>
      </c>
      <c r="H22" s="1" t="s">
        <v>139</v>
      </c>
      <c r="I22" s="3">
        <v>4.7359999999999998</v>
      </c>
      <c r="J22" s="3">
        <v>1.88</v>
      </c>
      <c r="K22" s="3">
        <v>1.2290000000000001</v>
      </c>
      <c r="L22" s="3">
        <v>1.234</v>
      </c>
      <c r="M22" s="3">
        <v>5.5810000000000004</v>
      </c>
      <c r="N22" s="1" t="s">
        <v>12</v>
      </c>
      <c r="O22" s="1" t="s">
        <v>162</v>
      </c>
      <c r="P22" s="1" t="s">
        <v>162</v>
      </c>
      <c r="Q22" s="1" t="s">
        <v>162</v>
      </c>
      <c r="R22" s="1" t="s">
        <v>162</v>
      </c>
      <c r="S22" s="1" t="s">
        <v>162</v>
      </c>
      <c r="T22" s="1" t="s">
        <v>162</v>
      </c>
      <c r="U22" s="3">
        <v>11.531000000000001</v>
      </c>
      <c r="V22" s="3">
        <v>2.8690000000000002</v>
      </c>
      <c r="W22" s="3">
        <v>7.1180000000000003</v>
      </c>
      <c r="X22" s="3">
        <v>3.5470000000000002</v>
      </c>
      <c r="Y22" s="3">
        <v>0</v>
      </c>
      <c r="Z22" s="1" t="s">
        <v>12</v>
      </c>
      <c r="AA22" s="1" t="s">
        <v>162</v>
      </c>
      <c r="AB22" s="1" t="s">
        <v>162</v>
      </c>
      <c r="AC22" s="1" t="s">
        <v>162</v>
      </c>
      <c r="AD22" s="1" t="s">
        <v>162</v>
      </c>
      <c r="AE22" s="1" t="s">
        <v>162</v>
      </c>
      <c r="AF22" s="1" t="s">
        <v>162</v>
      </c>
      <c r="AG22" s="3">
        <v>10.340999999999999</v>
      </c>
      <c r="AH22" s="3">
        <v>4.298</v>
      </c>
      <c r="AI22" s="3">
        <v>4.3959999999999999</v>
      </c>
      <c r="AJ22" s="3">
        <v>2.5720000000000001</v>
      </c>
      <c r="AK22" s="3">
        <v>5.077</v>
      </c>
      <c r="AL22" s="1" t="s">
        <v>9</v>
      </c>
      <c r="AM22" s="1" t="s">
        <v>162</v>
      </c>
      <c r="AN22" s="1" t="s">
        <v>162</v>
      </c>
      <c r="AO22" s="1" t="s">
        <v>162</v>
      </c>
      <c r="AP22" s="1" t="s">
        <v>162</v>
      </c>
      <c r="AQ22" s="1" t="s">
        <v>162</v>
      </c>
      <c r="AR22" s="1" t="s">
        <v>162</v>
      </c>
    </row>
    <row r="23" spans="1:44" ht="15.75" customHeight="1" x14ac:dyDescent="0.2">
      <c r="A23" s="4">
        <v>45985</v>
      </c>
      <c r="B23" s="1" t="s">
        <v>33</v>
      </c>
      <c r="C23" s="1" t="s">
        <v>6</v>
      </c>
      <c r="D23" s="8">
        <v>43991</v>
      </c>
      <c r="E23" s="6">
        <v>52.767000000000003</v>
      </c>
      <c r="F23" s="1" t="s">
        <v>7</v>
      </c>
      <c r="G23" s="1" t="s">
        <v>8</v>
      </c>
      <c r="H23" s="1" t="s">
        <v>142</v>
      </c>
      <c r="I23" s="1" t="s">
        <v>162</v>
      </c>
      <c r="J23" s="1" t="s">
        <v>162</v>
      </c>
      <c r="K23" s="1" t="s">
        <v>162</v>
      </c>
      <c r="L23" s="1" t="s">
        <v>162</v>
      </c>
      <c r="M23" s="1" t="s">
        <v>162</v>
      </c>
      <c r="N23" s="1" t="s">
        <v>162</v>
      </c>
      <c r="O23" s="3">
        <v>8.1980000000000004</v>
      </c>
      <c r="P23" s="3">
        <v>4.8319999999999999</v>
      </c>
      <c r="Q23" s="3">
        <v>0.64</v>
      </c>
      <c r="R23" s="3">
        <v>0.78400000000000003</v>
      </c>
      <c r="S23" s="3">
        <v>2.5659999999999998</v>
      </c>
      <c r="T23" s="1" t="s">
        <v>12</v>
      </c>
      <c r="U23" s="1" t="s">
        <v>162</v>
      </c>
      <c r="V23" s="1" t="s">
        <v>162</v>
      </c>
      <c r="W23" s="1" t="s">
        <v>162</v>
      </c>
      <c r="X23" s="1" t="s">
        <v>162</v>
      </c>
      <c r="Y23" s="1" t="s">
        <v>162</v>
      </c>
      <c r="Z23" s="1" t="s">
        <v>162</v>
      </c>
      <c r="AA23" s="3">
        <v>4.0389999999999997</v>
      </c>
      <c r="AB23" s="3">
        <v>4.3099999999999996</v>
      </c>
      <c r="AC23" s="3">
        <v>1.419</v>
      </c>
      <c r="AD23" s="3">
        <v>0</v>
      </c>
      <c r="AE23" s="3">
        <v>1.823</v>
      </c>
      <c r="AF23" s="1" t="s">
        <v>9</v>
      </c>
      <c r="AG23" s="1" t="s">
        <v>162</v>
      </c>
      <c r="AH23" s="1" t="s">
        <v>162</v>
      </c>
      <c r="AI23" s="1" t="s">
        <v>162</v>
      </c>
      <c r="AJ23" s="1" t="s">
        <v>162</v>
      </c>
      <c r="AK23" s="1" t="s">
        <v>162</v>
      </c>
      <c r="AL23" s="1" t="s">
        <v>162</v>
      </c>
      <c r="AM23" s="3">
        <v>8.9559999999999995</v>
      </c>
      <c r="AN23" s="3">
        <v>2.4129999999999998</v>
      </c>
      <c r="AO23" s="3">
        <v>3.266</v>
      </c>
      <c r="AP23" s="3">
        <v>5.8330000000000002</v>
      </c>
      <c r="AQ23" s="3">
        <v>6.14</v>
      </c>
      <c r="AR23" s="1" t="s">
        <v>9</v>
      </c>
    </row>
    <row r="24" spans="1:44" ht="15.75" customHeight="1" x14ac:dyDescent="0.2">
      <c r="A24" s="4">
        <v>45985</v>
      </c>
      <c r="B24" s="1" t="s">
        <v>34</v>
      </c>
      <c r="C24" s="1" t="s">
        <v>15</v>
      </c>
      <c r="D24" s="7">
        <v>41852</v>
      </c>
      <c r="E24" s="6">
        <v>123</v>
      </c>
      <c r="F24" s="1" t="s">
        <v>7</v>
      </c>
      <c r="G24" s="1" t="s">
        <v>8</v>
      </c>
      <c r="H24" s="1" t="s">
        <v>143</v>
      </c>
      <c r="I24" s="1" t="s">
        <v>162</v>
      </c>
      <c r="J24" s="1" t="s">
        <v>162</v>
      </c>
      <c r="K24" s="1" t="s">
        <v>162</v>
      </c>
      <c r="L24" s="1" t="s">
        <v>162</v>
      </c>
      <c r="M24" s="1" t="s">
        <v>162</v>
      </c>
      <c r="N24" s="1" t="s">
        <v>162</v>
      </c>
      <c r="O24" s="3">
        <v>11.840999999999999</v>
      </c>
      <c r="P24" s="3">
        <v>9.4760000000000009</v>
      </c>
      <c r="Q24" s="3">
        <v>3.2330000000000001</v>
      </c>
      <c r="R24" s="3">
        <v>0.47799999999999998</v>
      </c>
      <c r="S24" s="3">
        <v>8.0090000000000003</v>
      </c>
      <c r="T24" s="1" t="s">
        <v>9</v>
      </c>
      <c r="U24" s="1" t="s">
        <v>162</v>
      </c>
      <c r="V24" s="1" t="s">
        <v>162</v>
      </c>
      <c r="W24" s="1" t="s">
        <v>162</v>
      </c>
      <c r="X24" s="1" t="s">
        <v>162</v>
      </c>
      <c r="Y24" s="1" t="s">
        <v>162</v>
      </c>
      <c r="Z24" s="1" t="s">
        <v>162</v>
      </c>
      <c r="AA24" s="3">
        <v>8.5129999999999999</v>
      </c>
      <c r="AB24" s="3">
        <v>3.786</v>
      </c>
      <c r="AC24" s="3">
        <v>1.907</v>
      </c>
      <c r="AD24" s="3">
        <v>6.1120000000000001</v>
      </c>
      <c r="AE24" s="3">
        <v>10.856999999999999</v>
      </c>
      <c r="AF24" s="1" t="s">
        <v>12</v>
      </c>
      <c r="AG24" s="1" t="s">
        <v>162</v>
      </c>
      <c r="AH24" s="1" t="s">
        <v>162</v>
      </c>
      <c r="AI24" s="1" t="s">
        <v>162</v>
      </c>
      <c r="AJ24" s="1" t="s">
        <v>162</v>
      </c>
      <c r="AK24" s="1" t="s">
        <v>162</v>
      </c>
      <c r="AL24" s="1" t="s">
        <v>162</v>
      </c>
      <c r="AM24" s="3">
        <v>7.883</v>
      </c>
      <c r="AN24" s="3">
        <v>5.5590000000000002</v>
      </c>
      <c r="AO24" s="3">
        <v>1.5269999999999999</v>
      </c>
      <c r="AP24" s="3">
        <v>1.5309999999999999</v>
      </c>
      <c r="AQ24" s="3">
        <v>6.5609999999999999</v>
      </c>
      <c r="AR24" s="1" t="s">
        <v>9</v>
      </c>
    </row>
    <row r="25" spans="1:44" ht="15.75" customHeight="1" x14ac:dyDescent="0.2">
      <c r="A25" s="4">
        <v>45985</v>
      </c>
      <c r="B25" s="1" t="s">
        <v>35</v>
      </c>
      <c r="C25" s="1" t="s">
        <v>15</v>
      </c>
      <c r="D25" s="8">
        <v>43692</v>
      </c>
      <c r="E25" s="6">
        <v>62.548000000000002</v>
      </c>
      <c r="F25" s="1" t="s">
        <v>7</v>
      </c>
      <c r="G25" s="1" t="s">
        <v>8</v>
      </c>
      <c r="H25" s="1" t="s">
        <v>144</v>
      </c>
      <c r="I25" s="10" t="s">
        <v>162</v>
      </c>
      <c r="J25" s="10" t="s">
        <v>162</v>
      </c>
      <c r="K25" s="10" t="s">
        <v>162</v>
      </c>
      <c r="L25" s="10" t="s">
        <v>162</v>
      </c>
      <c r="M25" s="10" t="s">
        <v>162</v>
      </c>
      <c r="N25" s="10" t="s">
        <v>162</v>
      </c>
      <c r="O25" s="10" t="s">
        <v>162</v>
      </c>
      <c r="P25" s="10" t="s">
        <v>162</v>
      </c>
      <c r="Q25" s="10" t="s">
        <v>162</v>
      </c>
      <c r="R25" s="10" t="s">
        <v>162</v>
      </c>
      <c r="S25" s="10" t="s">
        <v>162</v>
      </c>
      <c r="T25" s="10" t="s">
        <v>162</v>
      </c>
      <c r="U25" s="1" t="s">
        <v>162</v>
      </c>
      <c r="V25" s="1" t="s">
        <v>162</v>
      </c>
      <c r="W25" s="1" t="s">
        <v>162</v>
      </c>
      <c r="X25" s="1" t="s">
        <v>162</v>
      </c>
      <c r="Y25" s="1" t="s">
        <v>162</v>
      </c>
      <c r="Z25" s="1" t="s">
        <v>162</v>
      </c>
      <c r="AA25" s="3">
        <v>1.851</v>
      </c>
      <c r="AB25" s="3">
        <v>0</v>
      </c>
      <c r="AC25" s="3">
        <v>0.999</v>
      </c>
      <c r="AD25" s="3">
        <v>2.161</v>
      </c>
      <c r="AE25" s="3">
        <v>4.0830000000000002</v>
      </c>
      <c r="AF25" s="1" t="s">
        <v>12</v>
      </c>
      <c r="AG25" s="1" t="s">
        <v>162</v>
      </c>
      <c r="AH25" s="1" t="s">
        <v>162</v>
      </c>
      <c r="AI25" s="1" t="s">
        <v>162</v>
      </c>
      <c r="AJ25" s="1" t="s">
        <v>162</v>
      </c>
      <c r="AK25" s="1" t="s">
        <v>162</v>
      </c>
      <c r="AL25" s="1" t="s">
        <v>162</v>
      </c>
      <c r="AM25" s="3">
        <v>4.3949999999999996</v>
      </c>
      <c r="AN25" s="3">
        <v>1.8859999999999999</v>
      </c>
      <c r="AO25" s="3">
        <v>3.0209999999999999</v>
      </c>
      <c r="AP25" s="3">
        <v>0.60699999999999998</v>
      </c>
      <c r="AQ25" s="3">
        <v>4.6340000000000003</v>
      </c>
      <c r="AR25" s="1" t="s">
        <v>9</v>
      </c>
    </row>
    <row r="26" spans="1:44" ht="15.75" customHeight="1" x14ac:dyDescent="0.2">
      <c r="A26" s="4">
        <v>45985</v>
      </c>
      <c r="B26" s="1" t="s">
        <v>36</v>
      </c>
      <c r="C26" s="1" t="s">
        <v>15</v>
      </c>
      <c r="D26" s="8">
        <v>44804</v>
      </c>
      <c r="E26" s="6">
        <v>26.032</v>
      </c>
      <c r="F26" s="1" t="s">
        <v>7</v>
      </c>
      <c r="G26" s="1" t="s">
        <v>11</v>
      </c>
      <c r="H26" s="1" t="s">
        <v>128</v>
      </c>
      <c r="I26" s="1" t="s">
        <v>162</v>
      </c>
      <c r="J26" s="1" t="s">
        <v>162</v>
      </c>
      <c r="K26" s="1" t="s">
        <v>162</v>
      </c>
      <c r="L26" s="1" t="s">
        <v>162</v>
      </c>
      <c r="M26" s="1" t="s">
        <v>162</v>
      </c>
      <c r="N26" s="1" t="s">
        <v>162</v>
      </c>
      <c r="O26" s="3">
        <v>3.2789999999999999</v>
      </c>
      <c r="P26" s="3">
        <v>2.6080000000000001</v>
      </c>
      <c r="Q26" s="3">
        <v>1.25</v>
      </c>
      <c r="R26" s="3">
        <v>16.937999999999999</v>
      </c>
      <c r="S26" s="3">
        <v>20.145</v>
      </c>
      <c r="T26" s="1" t="s">
        <v>12</v>
      </c>
      <c r="U26" s="1" t="s">
        <v>162</v>
      </c>
      <c r="V26" s="1" t="s">
        <v>162</v>
      </c>
      <c r="W26" s="1" t="s">
        <v>162</v>
      </c>
      <c r="X26" s="1" t="s">
        <v>162</v>
      </c>
      <c r="Y26" s="1" t="s">
        <v>162</v>
      </c>
      <c r="Z26" s="1" t="s">
        <v>162</v>
      </c>
      <c r="AA26" s="3">
        <v>2.0990000000000002</v>
      </c>
      <c r="AB26" s="3">
        <v>4.7240000000000002</v>
      </c>
      <c r="AC26" s="3">
        <v>2.1110000000000002</v>
      </c>
      <c r="AD26" s="3">
        <v>5.6420000000000003</v>
      </c>
      <c r="AE26" s="3">
        <v>1.627</v>
      </c>
      <c r="AF26" s="1" t="s">
        <v>9</v>
      </c>
      <c r="AG26" s="1" t="s">
        <v>162</v>
      </c>
      <c r="AH26" s="1" t="s">
        <v>162</v>
      </c>
      <c r="AI26" s="1" t="s">
        <v>162</v>
      </c>
      <c r="AJ26" s="1" t="s">
        <v>162</v>
      </c>
      <c r="AK26" s="1" t="s">
        <v>162</v>
      </c>
      <c r="AL26" s="1" t="s">
        <v>162</v>
      </c>
      <c r="AM26" s="3">
        <v>3.7440000000000002</v>
      </c>
      <c r="AN26" s="3">
        <v>1.2470000000000001</v>
      </c>
      <c r="AO26" s="3">
        <v>3.6230000000000002</v>
      </c>
      <c r="AP26" s="3">
        <v>2.532</v>
      </c>
      <c r="AQ26" s="3">
        <v>2.6589999999999998</v>
      </c>
      <c r="AR26" s="1" t="s">
        <v>12</v>
      </c>
    </row>
    <row r="27" spans="1:44" ht="15.75" customHeight="1" x14ac:dyDescent="0.2">
      <c r="A27" s="4">
        <v>45985</v>
      </c>
      <c r="B27" s="1" t="s">
        <v>37</v>
      </c>
      <c r="C27" s="1" t="s">
        <v>6</v>
      </c>
      <c r="D27" s="8">
        <v>43423</v>
      </c>
      <c r="E27" s="6">
        <v>71.433000000000007</v>
      </c>
      <c r="F27" s="1" t="s">
        <v>7</v>
      </c>
      <c r="G27" s="1" t="s">
        <v>11</v>
      </c>
      <c r="H27" s="6" t="s">
        <v>140</v>
      </c>
      <c r="I27" s="3">
        <v>4.835</v>
      </c>
      <c r="J27" s="3">
        <v>0</v>
      </c>
      <c r="K27" s="3">
        <v>0</v>
      </c>
      <c r="L27" s="3">
        <v>3.0659999999999998</v>
      </c>
      <c r="M27" s="3">
        <v>1.9379999999999999</v>
      </c>
      <c r="N27" s="1" t="s">
        <v>9</v>
      </c>
      <c r="O27" s="1" t="s">
        <v>162</v>
      </c>
      <c r="P27" s="1" t="s">
        <v>162</v>
      </c>
      <c r="Q27" s="1" t="s">
        <v>162</v>
      </c>
      <c r="R27" s="1" t="s">
        <v>162</v>
      </c>
      <c r="S27" s="1" t="s">
        <v>162</v>
      </c>
      <c r="T27" s="1" t="s">
        <v>162</v>
      </c>
      <c r="U27" s="3">
        <v>0.97699999999999998</v>
      </c>
      <c r="V27" s="3">
        <v>0</v>
      </c>
      <c r="W27" s="3">
        <v>0</v>
      </c>
      <c r="X27" s="3">
        <v>2.4009999999999998</v>
      </c>
      <c r="Y27" s="3">
        <v>4.6050000000000004</v>
      </c>
      <c r="Z27" s="1" t="s">
        <v>12</v>
      </c>
      <c r="AA27" s="1" t="s">
        <v>162</v>
      </c>
      <c r="AB27" s="1" t="s">
        <v>162</v>
      </c>
      <c r="AC27" s="1" t="s">
        <v>162</v>
      </c>
      <c r="AD27" s="1" t="s">
        <v>162</v>
      </c>
      <c r="AE27" s="1" t="s">
        <v>162</v>
      </c>
      <c r="AF27" s="1" t="s">
        <v>162</v>
      </c>
      <c r="AG27" s="3">
        <v>4.1050000000000004</v>
      </c>
      <c r="AH27" s="3">
        <v>3.6480000000000001</v>
      </c>
      <c r="AI27" s="3">
        <v>0</v>
      </c>
      <c r="AJ27" s="3">
        <v>2.2839999999999998</v>
      </c>
      <c r="AK27" s="3">
        <v>5.4569999999999999</v>
      </c>
      <c r="AL27" s="1" t="s">
        <v>9</v>
      </c>
      <c r="AM27" s="1" t="s">
        <v>162</v>
      </c>
      <c r="AN27" s="1" t="s">
        <v>162</v>
      </c>
      <c r="AO27" s="1" t="s">
        <v>162</v>
      </c>
      <c r="AP27" s="1" t="s">
        <v>162</v>
      </c>
      <c r="AQ27" s="1" t="s">
        <v>162</v>
      </c>
      <c r="AR27" s="1" t="s">
        <v>162</v>
      </c>
    </row>
    <row r="28" spans="1:44" ht="15.75" customHeight="1" x14ac:dyDescent="0.2">
      <c r="A28" s="4">
        <v>45985</v>
      </c>
      <c r="B28" s="1" t="s">
        <v>38</v>
      </c>
      <c r="C28" s="1" t="s">
        <v>6</v>
      </c>
      <c r="D28" s="7">
        <v>43770</v>
      </c>
      <c r="E28" s="6">
        <v>60</v>
      </c>
      <c r="F28" s="1" t="s">
        <v>7</v>
      </c>
      <c r="G28" s="1" t="s">
        <v>8</v>
      </c>
      <c r="H28" s="1" t="s">
        <v>151</v>
      </c>
      <c r="I28" s="1" t="s">
        <v>162</v>
      </c>
      <c r="J28" s="1" t="s">
        <v>162</v>
      </c>
      <c r="K28" s="1" t="s">
        <v>162</v>
      </c>
      <c r="L28" s="1" t="s">
        <v>162</v>
      </c>
      <c r="M28" s="1" t="s">
        <v>162</v>
      </c>
      <c r="N28" s="1" t="s">
        <v>162</v>
      </c>
      <c r="O28" s="3">
        <v>6.1180000000000003</v>
      </c>
      <c r="P28" s="3">
        <v>3.0680000000000001</v>
      </c>
      <c r="Q28" s="3">
        <v>3.3450000000000002</v>
      </c>
      <c r="R28" s="3">
        <v>2.61</v>
      </c>
      <c r="S28" s="3">
        <v>1.4239999999999999</v>
      </c>
      <c r="T28" s="1" t="s">
        <v>9</v>
      </c>
      <c r="U28" s="1" t="s">
        <v>162</v>
      </c>
      <c r="V28" s="1" t="s">
        <v>162</v>
      </c>
      <c r="W28" s="1" t="s">
        <v>162</v>
      </c>
      <c r="X28" s="1" t="s">
        <v>162</v>
      </c>
      <c r="Y28" s="1" t="s">
        <v>162</v>
      </c>
      <c r="Z28" s="1" t="s">
        <v>162</v>
      </c>
      <c r="AA28" s="3">
        <v>6.5949999999999998</v>
      </c>
      <c r="AB28" s="3">
        <v>4.6980000000000004</v>
      </c>
      <c r="AC28" s="3">
        <v>2.198</v>
      </c>
      <c r="AD28" s="3">
        <v>4.7389999999999999</v>
      </c>
      <c r="AE28" s="3">
        <v>1.3660000000000001</v>
      </c>
      <c r="AF28" s="1" t="s">
        <v>9</v>
      </c>
      <c r="AG28" s="1" t="s">
        <v>162</v>
      </c>
      <c r="AH28" s="1" t="s">
        <v>162</v>
      </c>
      <c r="AI28" s="1" t="s">
        <v>162</v>
      </c>
      <c r="AJ28" s="1" t="s">
        <v>162</v>
      </c>
      <c r="AK28" s="1" t="s">
        <v>162</v>
      </c>
      <c r="AL28" s="1" t="s">
        <v>162</v>
      </c>
      <c r="AM28" s="3">
        <v>11.757</v>
      </c>
      <c r="AN28" s="3">
        <v>6.0060000000000002</v>
      </c>
      <c r="AO28" s="3">
        <v>3.2890000000000001</v>
      </c>
      <c r="AP28" s="3">
        <v>2.73</v>
      </c>
      <c r="AQ28" s="3">
        <v>5.4059999999999997</v>
      </c>
      <c r="AR28" s="1" t="s">
        <v>12</v>
      </c>
    </row>
    <row r="29" spans="1:44" ht="15.75" customHeight="1" x14ac:dyDescent="0.2">
      <c r="A29" s="4">
        <v>45985</v>
      </c>
      <c r="B29" s="1" t="s">
        <v>39</v>
      </c>
      <c r="C29" s="1" t="s">
        <v>15</v>
      </c>
      <c r="D29" s="7">
        <v>44835</v>
      </c>
      <c r="E29" s="6">
        <v>25</v>
      </c>
      <c r="F29" s="1" t="s">
        <v>7</v>
      </c>
      <c r="G29" s="1" t="s">
        <v>8</v>
      </c>
      <c r="H29" s="1" t="s">
        <v>141</v>
      </c>
      <c r="I29" s="10" t="s">
        <v>162</v>
      </c>
      <c r="J29" s="10" t="s">
        <v>162</v>
      </c>
      <c r="K29" s="10" t="s">
        <v>162</v>
      </c>
      <c r="L29" s="10" t="s">
        <v>162</v>
      </c>
      <c r="M29" s="10" t="s">
        <v>162</v>
      </c>
      <c r="N29" s="10" t="s">
        <v>162</v>
      </c>
      <c r="O29" s="10" t="s">
        <v>162</v>
      </c>
      <c r="P29" s="10" t="s">
        <v>162</v>
      </c>
      <c r="Q29" s="10" t="s">
        <v>162</v>
      </c>
      <c r="R29" s="10" t="s">
        <v>162</v>
      </c>
      <c r="S29" s="10" t="s">
        <v>162</v>
      </c>
      <c r="T29" s="10" t="s">
        <v>162</v>
      </c>
      <c r="U29" s="3">
        <v>2.1429999999999998</v>
      </c>
      <c r="V29" s="3">
        <v>0.91900000000000004</v>
      </c>
      <c r="W29" s="3">
        <v>0.46</v>
      </c>
      <c r="X29" s="3">
        <v>0</v>
      </c>
      <c r="Y29" s="3">
        <v>1.119</v>
      </c>
      <c r="Z29" s="1" t="s">
        <v>9</v>
      </c>
      <c r="AA29" s="1" t="s">
        <v>162</v>
      </c>
      <c r="AB29" s="1" t="s">
        <v>162</v>
      </c>
      <c r="AC29" s="1" t="s">
        <v>162</v>
      </c>
      <c r="AD29" s="1" t="s">
        <v>162</v>
      </c>
      <c r="AE29" s="1" t="s">
        <v>162</v>
      </c>
      <c r="AF29" s="1" t="s">
        <v>162</v>
      </c>
      <c r="AG29" s="3">
        <v>3.891</v>
      </c>
      <c r="AH29" s="3">
        <v>0</v>
      </c>
      <c r="AI29" s="3">
        <v>0</v>
      </c>
      <c r="AJ29" s="3">
        <v>0.86599999999999999</v>
      </c>
      <c r="AK29" s="3">
        <v>0.99199999999999999</v>
      </c>
      <c r="AL29" s="1" t="s">
        <v>9</v>
      </c>
      <c r="AM29" s="1" t="s">
        <v>162</v>
      </c>
      <c r="AN29" s="1" t="s">
        <v>162</v>
      </c>
      <c r="AO29" s="1" t="s">
        <v>162</v>
      </c>
      <c r="AP29" s="1" t="s">
        <v>162</v>
      </c>
      <c r="AQ29" s="1" t="s">
        <v>162</v>
      </c>
      <c r="AR29" s="1" t="s">
        <v>162</v>
      </c>
    </row>
    <row r="30" spans="1:44" ht="15.75" customHeight="1" x14ac:dyDescent="0.2">
      <c r="A30" s="4">
        <v>45985</v>
      </c>
      <c r="B30" s="1" t="s">
        <v>40</v>
      </c>
      <c r="C30" s="1" t="s">
        <v>15</v>
      </c>
      <c r="D30" s="6">
        <v>2017</v>
      </c>
      <c r="E30" s="6">
        <v>94</v>
      </c>
      <c r="F30" s="1" t="s">
        <v>7</v>
      </c>
      <c r="G30" s="1" t="s">
        <v>8</v>
      </c>
      <c r="H30" s="1" t="s">
        <v>145</v>
      </c>
      <c r="I30" s="1" t="s">
        <v>162</v>
      </c>
      <c r="J30" s="1" t="s">
        <v>162</v>
      </c>
      <c r="K30" s="1" t="s">
        <v>162</v>
      </c>
      <c r="L30" s="1" t="s">
        <v>162</v>
      </c>
      <c r="M30" s="1" t="s">
        <v>162</v>
      </c>
      <c r="N30" s="1" t="s">
        <v>162</v>
      </c>
      <c r="O30" s="3">
        <v>5.532</v>
      </c>
      <c r="P30" s="3">
        <v>8.6999999999999993</v>
      </c>
      <c r="Q30" s="3">
        <v>0</v>
      </c>
      <c r="R30" s="3">
        <v>2.5680000000000001</v>
      </c>
      <c r="S30" s="3">
        <v>3.4990000000000001</v>
      </c>
      <c r="T30" s="1" t="s">
        <v>12</v>
      </c>
      <c r="U30" s="1" t="s">
        <v>162</v>
      </c>
      <c r="V30" s="1" t="s">
        <v>162</v>
      </c>
      <c r="W30" s="1" t="s">
        <v>162</v>
      </c>
      <c r="X30" s="1" t="s">
        <v>162</v>
      </c>
      <c r="Y30" s="1" t="s">
        <v>162</v>
      </c>
      <c r="Z30" s="1" t="s">
        <v>162</v>
      </c>
      <c r="AA30" s="3">
        <v>16.056999999999999</v>
      </c>
      <c r="AB30" s="3">
        <v>2.09</v>
      </c>
      <c r="AC30" s="3">
        <v>4.3449999999999998</v>
      </c>
      <c r="AD30" s="3">
        <v>1.8420000000000001</v>
      </c>
      <c r="AE30" s="3">
        <v>2.0680000000000001</v>
      </c>
      <c r="AF30" s="1" t="s">
        <v>9</v>
      </c>
      <c r="AG30" s="1" t="s">
        <v>162</v>
      </c>
      <c r="AH30" s="1" t="s">
        <v>162</v>
      </c>
      <c r="AI30" s="1" t="s">
        <v>162</v>
      </c>
      <c r="AJ30" s="1" t="s">
        <v>162</v>
      </c>
      <c r="AK30" s="1" t="s">
        <v>162</v>
      </c>
      <c r="AL30" s="1" t="s">
        <v>162</v>
      </c>
      <c r="AM30" s="3">
        <v>13.898999999999999</v>
      </c>
      <c r="AN30" s="3">
        <v>3.222</v>
      </c>
      <c r="AO30" s="3">
        <v>0</v>
      </c>
      <c r="AP30" s="3">
        <v>4.6136609999999996</v>
      </c>
      <c r="AQ30" s="3">
        <v>0</v>
      </c>
      <c r="AR30" s="1" t="s">
        <v>9</v>
      </c>
    </row>
    <row r="31" spans="1:44" ht="15.75" customHeight="1" x14ac:dyDescent="0.2">
      <c r="A31" s="4">
        <v>45985</v>
      </c>
      <c r="B31" s="1" t="s">
        <v>41</v>
      </c>
      <c r="C31" s="1" t="s">
        <v>15</v>
      </c>
      <c r="D31" s="7">
        <v>45292</v>
      </c>
      <c r="E31" s="6">
        <v>10</v>
      </c>
      <c r="F31" s="1" t="s">
        <v>42</v>
      </c>
      <c r="G31" s="1" t="s">
        <v>8</v>
      </c>
      <c r="H31" s="1" t="s">
        <v>146</v>
      </c>
      <c r="I31" s="1" t="s">
        <v>162</v>
      </c>
      <c r="J31" s="1" t="s">
        <v>162</v>
      </c>
      <c r="K31" s="1" t="s">
        <v>162</v>
      </c>
      <c r="L31" s="1" t="s">
        <v>162</v>
      </c>
      <c r="M31" s="1" t="s">
        <v>162</v>
      </c>
      <c r="N31" s="1" t="s">
        <v>162</v>
      </c>
      <c r="O31" s="3">
        <v>1.5109999999999999</v>
      </c>
      <c r="P31" s="3">
        <v>0</v>
      </c>
      <c r="Q31" s="3">
        <v>0</v>
      </c>
      <c r="R31" s="3">
        <v>1.262</v>
      </c>
      <c r="S31" s="3">
        <v>1.504</v>
      </c>
      <c r="T31" s="1" t="s">
        <v>9</v>
      </c>
      <c r="U31" s="1" t="s">
        <v>162</v>
      </c>
      <c r="V31" s="1" t="s">
        <v>162</v>
      </c>
      <c r="W31" s="1" t="s">
        <v>162</v>
      </c>
      <c r="X31" s="1" t="s">
        <v>162</v>
      </c>
      <c r="Y31" s="1" t="s">
        <v>162</v>
      </c>
      <c r="Z31" s="1" t="s">
        <v>162</v>
      </c>
      <c r="AA31" s="3">
        <v>15.544</v>
      </c>
      <c r="AB31" s="3">
        <v>3.3889999999999998</v>
      </c>
      <c r="AC31" s="3">
        <v>0.318</v>
      </c>
      <c r="AD31" s="3">
        <v>0.307</v>
      </c>
      <c r="AE31" s="3">
        <v>1.9790000000000001</v>
      </c>
      <c r="AF31" s="1" t="s">
        <v>9</v>
      </c>
      <c r="AG31" s="1" t="s">
        <v>162</v>
      </c>
      <c r="AH31" s="1" t="s">
        <v>162</v>
      </c>
      <c r="AI31" s="1" t="s">
        <v>162</v>
      </c>
      <c r="AJ31" s="1" t="s">
        <v>162</v>
      </c>
      <c r="AK31" s="1" t="s">
        <v>162</v>
      </c>
      <c r="AL31" s="1" t="s">
        <v>162</v>
      </c>
      <c r="AM31" s="3">
        <v>4.1150000000000002</v>
      </c>
      <c r="AN31" s="3">
        <v>0.98499999999999999</v>
      </c>
      <c r="AO31" s="3">
        <v>0.20300000000000001</v>
      </c>
      <c r="AP31" s="3">
        <v>16.227</v>
      </c>
      <c r="AQ31" s="3">
        <v>3.9129999999999998</v>
      </c>
      <c r="AR31" s="1" t="s">
        <v>12</v>
      </c>
    </row>
    <row r="32" spans="1:44" ht="15.75" customHeight="1" x14ac:dyDescent="0.2">
      <c r="A32" s="4">
        <v>45985</v>
      </c>
      <c r="B32" s="1" t="s">
        <v>43</v>
      </c>
      <c r="C32" s="1" t="s">
        <v>15</v>
      </c>
      <c r="D32" s="7">
        <v>43922</v>
      </c>
      <c r="E32" s="6">
        <v>55</v>
      </c>
      <c r="F32" s="1" t="s">
        <v>7</v>
      </c>
      <c r="G32" s="1" t="s">
        <v>8</v>
      </c>
      <c r="H32" s="1" t="s">
        <v>147</v>
      </c>
      <c r="I32" s="1" t="s">
        <v>162</v>
      </c>
      <c r="J32" s="1" t="s">
        <v>162</v>
      </c>
      <c r="K32" s="1" t="s">
        <v>162</v>
      </c>
      <c r="L32" s="1" t="s">
        <v>162</v>
      </c>
      <c r="M32" s="1" t="s">
        <v>162</v>
      </c>
      <c r="N32" s="1" t="s">
        <v>162</v>
      </c>
      <c r="O32" s="3">
        <v>15.773999999999999</v>
      </c>
      <c r="P32" s="3">
        <v>9.3859999999999992</v>
      </c>
      <c r="Q32" s="3">
        <v>1.7609999999999999</v>
      </c>
      <c r="R32" s="3">
        <v>1.766</v>
      </c>
      <c r="S32" s="3">
        <v>9.2370000000000001</v>
      </c>
      <c r="T32" s="1" t="s">
        <v>12</v>
      </c>
      <c r="U32" s="10" t="s">
        <v>162</v>
      </c>
      <c r="V32" s="10" t="s">
        <v>162</v>
      </c>
      <c r="W32" s="10" t="s">
        <v>162</v>
      </c>
      <c r="X32" s="10" t="s">
        <v>162</v>
      </c>
      <c r="Y32" s="10" t="s">
        <v>162</v>
      </c>
      <c r="Z32" s="10" t="s">
        <v>162</v>
      </c>
      <c r="AA32" s="10" t="s">
        <v>162</v>
      </c>
      <c r="AB32" s="10" t="s">
        <v>162</v>
      </c>
      <c r="AC32" s="10" t="s">
        <v>162</v>
      </c>
      <c r="AD32" s="10" t="s">
        <v>162</v>
      </c>
      <c r="AE32" s="10" t="s">
        <v>162</v>
      </c>
      <c r="AF32" s="10" t="s">
        <v>162</v>
      </c>
      <c r="AG32" s="1" t="s">
        <v>162</v>
      </c>
      <c r="AH32" s="1" t="s">
        <v>162</v>
      </c>
      <c r="AI32" s="1" t="s">
        <v>162</v>
      </c>
      <c r="AJ32" s="1" t="s">
        <v>162</v>
      </c>
      <c r="AK32" s="1" t="s">
        <v>162</v>
      </c>
      <c r="AL32" s="1" t="s">
        <v>162</v>
      </c>
      <c r="AM32" s="3">
        <v>7.117</v>
      </c>
      <c r="AN32" s="3">
        <v>4.282</v>
      </c>
      <c r="AO32" s="3">
        <v>4.6479999999999997</v>
      </c>
      <c r="AP32" s="3">
        <v>4.3879999999999999</v>
      </c>
      <c r="AQ32" s="3">
        <v>3.6579999999999999</v>
      </c>
      <c r="AR32" s="1" t="s">
        <v>9</v>
      </c>
    </row>
    <row r="33" spans="1:44" ht="15.75" customHeight="1" x14ac:dyDescent="0.2">
      <c r="A33" s="5" t="s">
        <v>44</v>
      </c>
      <c r="B33" s="1" t="s">
        <v>45</v>
      </c>
      <c r="C33" s="1" t="s">
        <v>6</v>
      </c>
      <c r="D33" s="7">
        <v>42186</v>
      </c>
      <c r="E33" s="6">
        <v>116</v>
      </c>
      <c r="F33" s="1" t="s">
        <v>7</v>
      </c>
      <c r="G33" s="1" t="s">
        <v>11</v>
      </c>
      <c r="H33" s="1" t="s">
        <v>148</v>
      </c>
      <c r="I33" s="3">
        <v>0.60699999999999998</v>
      </c>
      <c r="J33" s="3">
        <v>1.0620000000000001</v>
      </c>
      <c r="K33" s="3">
        <v>6.2030000000000003</v>
      </c>
      <c r="L33" s="3">
        <v>0</v>
      </c>
      <c r="M33" s="3">
        <v>1.3839999999999999</v>
      </c>
      <c r="N33" s="1" t="s">
        <v>9</v>
      </c>
      <c r="O33" s="1" t="s">
        <v>162</v>
      </c>
      <c r="P33" s="1" t="s">
        <v>162</v>
      </c>
      <c r="Q33" s="1" t="s">
        <v>162</v>
      </c>
      <c r="R33" s="1" t="s">
        <v>162</v>
      </c>
      <c r="S33" s="1" t="s">
        <v>162</v>
      </c>
      <c r="T33" s="1" t="s">
        <v>162</v>
      </c>
      <c r="U33" s="3">
        <v>2.83</v>
      </c>
      <c r="V33" s="3">
        <v>8.98</v>
      </c>
      <c r="W33" s="3">
        <v>0</v>
      </c>
      <c r="X33" s="3">
        <v>1.3620000000000001</v>
      </c>
      <c r="Y33" s="3">
        <v>1.524</v>
      </c>
      <c r="Z33" s="1" t="s">
        <v>12</v>
      </c>
      <c r="AA33" s="1" t="s">
        <v>162</v>
      </c>
      <c r="AB33" s="1" t="s">
        <v>162</v>
      </c>
      <c r="AC33" s="1" t="s">
        <v>162</v>
      </c>
      <c r="AD33" s="1" t="s">
        <v>162</v>
      </c>
      <c r="AE33" s="1" t="s">
        <v>162</v>
      </c>
      <c r="AF33" s="1" t="s">
        <v>162</v>
      </c>
      <c r="AG33" s="3">
        <v>7.431</v>
      </c>
      <c r="AH33" s="3">
        <v>5.8209999999999997</v>
      </c>
      <c r="AI33" s="3">
        <v>2.76</v>
      </c>
      <c r="AJ33" s="3">
        <v>0.995</v>
      </c>
      <c r="AK33" s="3">
        <v>3.4289999999999998</v>
      </c>
      <c r="AL33" s="1" t="s">
        <v>9</v>
      </c>
      <c r="AM33" s="1" t="s">
        <v>162</v>
      </c>
      <c r="AN33" s="1" t="s">
        <v>162</v>
      </c>
      <c r="AO33" s="1" t="s">
        <v>162</v>
      </c>
      <c r="AP33" s="1" t="s">
        <v>162</v>
      </c>
      <c r="AQ33" s="1" t="s">
        <v>162</v>
      </c>
      <c r="AR33" s="1" t="s">
        <v>162</v>
      </c>
    </row>
    <row r="34" spans="1:44" ht="15.75" customHeight="1" x14ac:dyDescent="0.2">
      <c r="A34" s="5" t="s">
        <v>44</v>
      </c>
      <c r="B34" s="1" t="s">
        <v>46</v>
      </c>
      <c r="C34" s="1" t="s">
        <v>15</v>
      </c>
      <c r="D34" s="7">
        <v>44774</v>
      </c>
      <c r="E34" s="6">
        <v>30</v>
      </c>
      <c r="F34" s="1" t="s">
        <v>7</v>
      </c>
      <c r="G34" s="1" t="s">
        <v>8</v>
      </c>
      <c r="H34" s="1" t="s">
        <v>149</v>
      </c>
      <c r="I34" s="3">
        <v>12.157999999999999</v>
      </c>
      <c r="J34" s="3">
        <v>27.457000000000001</v>
      </c>
      <c r="K34" s="3">
        <v>18.617000000000001</v>
      </c>
      <c r="L34" s="3">
        <v>1.385</v>
      </c>
      <c r="M34" s="3">
        <v>17.033999999999999</v>
      </c>
      <c r="N34" s="1" t="s">
        <v>9</v>
      </c>
      <c r="O34" s="1" t="s">
        <v>162</v>
      </c>
      <c r="P34" s="1" t="s">
        <v>162</v>
      </c>
      <c r="Q34" s="1" t="s">
        <v>162</v>
      </c>
      <c r="R34" s="1" t="s">
        <v>162</v>
      </c>
      <c r="S34" s="1" t="s">
        <v>162</v>
      </c>
      <c r="T34" s="1" t="s">
        <v>162</v>
      </c>
      <c r="U34" s="3">
        <v>22.427</v>
      </c>
      <c r="V34" s="3">
        <v>21.289000000000001</v>
      </c>
      <c r="W34" s="3">
        <v>18.053999999999998</v>
      </c>
      <c r="X34" s="3">
        <v>1.956</v>
      </c>
      <c r="Y34" s="3">
        <v>7.4489999999999998</v>
      </c>
      <c r="Z34" s="1" t="s">
        <v>12</v>
      </c>
      <c r="AA34" s="1" t="s">
        <v>162</v>
      </c>
      <c r="AB34" s="1" t="s">
        <v>162</v>
      </c>
      <c r="AC34" s="1" t="s">
        <v>162</v>
      </c>
      <c r="AD34" s="1" t="s">
        <v>162</v>
      </c>
      <c r="AE34" s="1" t="s">
        <v>162</v>
      </c>
      <c r="AF34" s="1" t="s">
        <v>162</v>
      </c>
      <c r="AG34" s="3">
        <v>15.228</v>
      </c>
      <c r="AH34" s="3">
        <v>2.66</v>
      </c>
      <c r="AI34" s="3">
        <v>2.5760000000000001</v>
      </c>
      <c r="AJ34" s="3">
        <v>2.327</v>
      </c>
      <c r="AK34" s="3">
        <v>5.3140000000000001</v>
      </c>
      <c r="AL34" s="1" t="s">
        <v>9</v>
      </c>
      <c r="AM34" s="1" t="s">
        <v>162</v>
      </c>
      <c r="AN34" s="1" t="s">
        <v>162</v>
      </c>
      <c r="AO34" s="1" t="s">
        <v>162</v>
      </c>
      <c r="AP34" s="1" t="s">
        <v>162</v>
      </c>
      <c r="AQ34" s="1" t="s">
        <v>162</v>
      </c>
      <c r="AR34" s="1" t="s">
        <v>162</v>
      </c>
    </row>
    <row r="35" spans="1:44" ht="15.75" customHeight="1" x14ac:dyDescent="0.2">
      <c r="A35" s="5" t="s">
        <v>44</v>
      </c>
      <c r="B35" s="1" t="s">
        <v>47</v>
      </c>
      <c r="C35" s="1" t="s">
        <v>15</v>
      </c>
      <c r="D35" s="8">
        <v>44002</v>
      </c>
      <c r="E35" s="6">
        <v>55.4</v>
      </c>
      <c r="F35" s="1" t="s">
        <v>42</v>
      </c>
      <c r="G35" s="1" t="s">
        <v>11</v>
      </c>
      <c r="H35" s="1" t="s">
        <v>152</v>
      </c>
      <c r="I35" s="1" t="s">
        <v>162</v>
      </c>
      <c r="J35" s="1" t="s">
        <v>162</v>
      </c>
      <c r="K35" s="1" t="s">
        <v>162</v>
      </c>
      <c r="L35" s="1" t="s">
        <v>162</v>
      </c>
      <c r="M35" s="1" t="s">
        <v>162</v>
      </c>
      <c r="N35" s="1" t="s">
        <v>162</v>
      </c>
      <c r="O35" s="3">
        <v>4.2720000000000002</v>
      </c>
      <c r="P35" s="3">
        <v>0</v>
      </c>
      <c r="Q35" s="3">
        <v>0</v>
      </c>
      <c r="R35" s="3">
        <v>1.056</v>
      </c>
      <c r="S35" s="3">
        <v>0</v>
      </c>
      <c r="T35" s="1" t="s">
        <v>12</v>
      </c>
      <c r="U35" s="1" t="s">
        <v>162</v>
      </c>
      <c r="V35" s="1" t="s">
        <v>162</v>
      </c>
      <c r="W35" s="1" t="s">
        <v>162</v>
      </c>
      <c r="X35" s="1" t="s">
        <v>162</v>
      </c>
      <c r="Y35" s="1" t="s">
        <v>162</v>
      </c>
      <c r="Z35" s="1" t="s">
        <v>162</v>
      </c>
      <c r="AA35" s="3">
        <v>6.2210000000000001</v>
      </c>
      <c r="AB35" s="3">
        <v>1.4710000000000001</v>
      </c>
      <c r="AC35" s="3">
        <v>0.93200000000000005</v>
      </c>
      <c r="AD35" s="3">
        <v>1.8919999999999999</v>
      </c>
      <c r="AE35" s="3">
        <v>5.82</v>
      </c>
      <c r="AF35" s="1" t="s">
        <v>9</v>
      </c>
      <c r="AG35" s="10" t="s">
        <v>162</v>
      </c>
      <c r="AH35" s="10" t="s">
        <v>162</v>
      </c>
      <c r="AI35" s="10" t="s">
        <v>162</v>
      </c>
      <c r="AJ35" s="10" t="s">
        <v>162</v>
      </c>
      <c r="AK35" s="10" t="s">
        <v>162</v>
      </c>
      <c r="AL35" s="10" t="s">
        <v>162</v>
      </c>
      <c r="AM35" s="10" t="s">
        <v>162</v>
      </c>
      <c r="AN35" s="10" t="s">
        <v>162</v>
      </c>
      <c r="AO35" s="10" t="s">
        <v>162</v>
      </c>
      <c r="AP35" s="10" t="s">
        <v>162</v>
      </c>
      <c r="AQ35" s="10" t="s">
        <v>162</v>
      </c>
      <c r="AR35" s="10" t="s">
        <v>162</v>
      </c>
    </row>
    <row r="36" spans="1:44" ht="15.75" customHeight="1" x14ac:dyDescent="0.2">
      <c r="A36" s="5" t="s">
        <v>44</v>
      </c>
      <c r="B36" s="1" t="s">
        <v>48</v>
      </c>
      <c r="C36" s="1" t="s">
        <v>6</v>
      </c>
      <c r="D36" s="7">
        <v>42248</v>
      </c>
      <c r="E36" s="6">
        <v>114</v>
      </c>
      <c r="F36" s="1" t="s">
        <v>7</v>
      </c>
      <c r="G36" s="1" t="s">
        <v>8</v>
      </c>
      <c r="H36" s="1" t="s">
        <v>156</v>
      </c>
      <c r="I36" s="3">
        <v>2.9220000000000002</v>
      </c>
      <c r="J36" s="3">
        <v>0.84499999999999997</v>
      </c>
      <c r="K36" s="3">
        <v>2.3540000000000001</v>
      </c>
      <c r="L36" s="3">
        <v>1.421</v>
      </c>
      <c r="M36" s="3">
        <v>1.5409999999999999</v>
      </c>
      <c r="N36" s="1" t="s">
        <v>9</v>
      </c>
      <c r="O36" s="1" t="s">
        <v>162</v>
      </c>
      <c r="P36" s="1" t="s">
        <v>162</v>
      </c>
      <c r="Q36" s="1" t="s">
        <v>162</v>
      </c>
      <c r="R36" s="1" t="s">
        <v>162</v>
      </c>
      <c r="S36" s="1" t="s">
        <v>162</v>
      </c>
      <c r="T36" s="1" t="s">
        <v>162</v>
      </c>
      <c r="U36" s="3">
        <v>8.8970000000000002</v>
      </c>
      <c r="V36" s="3">
        <v>5.4989999999999997</v>
      </c>
      <c r="W36" s="3">
        <v>0.79</v>
      </c>
      <c r="X36" s="3">
        <v>6.0190000000000001</v>
      </c>
      <c r="Y36" s="3">
        <v>3.6779999999999999</v>
      </c>
      <c r="Z36" s="1" t="s">
        <v>9</v>
      </c>
      <c r="AA36" s="1" t="s">
        <v>162</v>
      </c>
      <c r="AB36" s="1" t="s">
        <v>162</v>
      </c>
      <c r="AC36" s="1" t="s">
        <v>162</v>
      </c>
      <c r="AD36" s="1" t="s">
        <v>162</v>
      </c>
      <c r="AE36" s="1" t="s">
        <v>162</v>
      </c>
      <c r="AF36" s="1" t="s">
        <v>162</v>
      </c>
      <c r="AG36" s="3">
        <v>14.215999999999999</v>
      </c>
      <c r="AH36" s="3">
        <v>3.839</v>
      </c>
      <c r="AI36" s="3">
        <v>3.6459999999999999</v>
      </c>
      <c r="AJ36" s="3">
        <v>4.6849999999999996</v>
      </c>
      <c r="AK36" s="3">
        <v>7.8840000000000003</v>
      </c>
      <c r="AL36" s="1" t="s">
        <v>9</v>
      </c>
      <c r="AM36" s="1" t="s">
        <v>162</v>
      </c>
      <c r="AN36" s="1" t="s">
        <v>162</v>
      </c>
      <c r="AO36" s="1" t="s">
        <v>162</v>
      </c>
      <c r="AP36" s="1" t="s">
        <v>162</v>
      </c>
      <c r="AQ36" s="1" t="s">
        <v>162</v>
      </c>
      <c r="AR36" s="1" t="s">
        <v>162</v>
      </c>
    </row>
    <row r="37" spans="1:44" ht="15.75" customHeight="1" x14ac:dyDescent="0.2">
      <c r="A37" s="5" t="s">
        <v>44</v>
      </c>
      <c r="B37" s="1" t="s">
        <v>49</v>
      </c>
      <c r="C37" s="1" t="s">
        <v>6</v>
      </c>
      <c r="D37" s="8">
        <v>41796</v>
      </c>
      <c r="E37" s="6">
        <v>127.867</v>
      </c>
      <c r="F37" s="1" t="s">
        <v>7</v>
      </c>
      <c r="G37" s="1" t="s">
        <v>8</v>
      </c>
      <c r="H37" s="1" t="s">
        <v>157</v>
      </c>
      <c r="I37" s="1" t="s">
        <v>162</v>
      </c>
      <c r="J37" s="1" t="s">
        <v>162</v>
      </c>
      <c r="K37" s="1" t="s">
        <v>162</v>
      </c>
      <c r="L37" s="1" t="s">
        <v>162</v>
      </c>
      <c r="M37" s="1" t="s">
        <v>162</v>
      </c>
      <c r="N37" s="1" t="s">
        <v>162</v>
      </c>
      <c r="O37" s="3">
        <v>16.431000000000001</v>
      </c>
      <c r="P37" s="3">
        <v>7.7789999999999999</v>
      </c>
      <c r="Q37" s="3">
        <v>16.024999999999999</v>
      </c>
      <c r="R37" s="3">
        <v>1.9059999999999999</v>
      </c>
      <c r="S37" s="3">
        <v>4.0049999999999999</v>
      </c>
      <c r="T37" s="1" t="s">
        <v>9</v>
      </c>
      <c r="U37" s="1" t="s">
        <v>162</v>
      </c>
      <c r="V37" s="1" t="s">
        <v>162</v>
      </c>
      <c r="W37" s="1" t="s">
        <v>162</v>
      </c>
      <c r="X37" s="1" t="s">
        <v>162</v>
      </c>
      <c r="Y37" s="1" t="s">
        <v>162</v>
      </c>
      <c r="Z37" s="1" t="s">
        <v>162</v>
      </c>
      <c r="AA37" s="3">
        <v>10.821</v>
      </c>
      <c r="AB37" s="3">
        <v>12.845000000000001</v>
      </c>
      <c r="AC37" s="3">
        <v>10.053000000000001</v>
      </c>
      <c r="AD37" s="3">
        <v>12.956</v>
      </c>
      <c r="AE37" s="3">
        <v>0</v>
      </c>
      <c r="AF37" s="1" t="s">
        <v>12</v>
      </c>
      <c r="AG37" s="1" t="s">
        <v>162</v>
      </c>
      <c r="AH37" s="1" t="s">
        <v>162</v>
      </c>
      <c r="AI37" s="1" t="s">
        <v>162</v>
      </c>
      <c r="AJ37" s="1" t="s">
        <v>162</v>
      </c>
      <c r="AK37" s="1" t="s">
        <v>162</v>
      </c>
      <c r="AL37" s="1" t="s">
        <v>162</v>
      </c>
      <c r="AM37" s="3">
        <v>11.77</v>
      </c>
      <c r="AN37" s="3">
        <v>14.292</v>
      </c>
      <c r="AO37" s="3">
        <v>20.462</v>
      </c>
      <c r="AP37" s="3">
        <v>13.666</v>
      </c>
      <c r="AQ37" s="3">
        <v>7.0659999999999998</v>
      </c>
      <c r="AR37" s="1" t="s">
        <v>12</v>
      </c>
    </row>
    <row r="38" spans="1:44" ht="15.75" customHeight="1" x14ac:dyDescent="0.2">
      <c r="A38" s="5" t="s">
        <v>44</v>
      </c>
      <c r="B38" s="1" t="s">
        <v>50</v>
      </c>
      <c r="C38" s="1" t="s">
        <v>15</v>
      </c>
      <c r="D38" s="8">
        <v>43148</v>
      </c>
      <c r="E38" s="6">
        <v>83.536000000000001</v>
      </c>
      <c r="F38" s="1" t="s">
        <v>7</v>
      </c>
      <c r="G38" s="1" t="s">
        <v>8</v>
      </c>
      <c r="H38" s="1" t="s">
        <v>158</v>
      </c>
      <c r="I38" s="3">
        <v>8.1679999999999993</v>
      </c>
      <c r="J38" s="3">
        <v>0.65300000000000002</v>
      </c>
      <c r="K38" s="3">
        <v>0</v>
      </c>
      <c r="L38" s="3">
        <v>0.54500000000000004</v>
      </c>
      <c r="M38" s="3">
        <v>0.99399999999999999</v>
      </c>
      <c r="N38" s="1" t="s">
        <v>9</v>
      </c>
      <c r="O38" s="1" t="s">
        <v>162</v>
      </c>
      <c r="P38" s="1" t="s">
        <v>162</v>
      </c>
      <c r="Q38" s="1" t="s">
        <v>162</v>
      </c>
      <c r="R38" s="1" t="s">
        <v>162</v>
      </c>
      <c r="S38" s="1" t="s">
        <v>162</v>
      </c>
      <c r="T38" s="1" t="s">
        <v>162</v>
      </c>
      <c r="U38" s="3">
        <v>6.5419999999999998</v>
      </c>
      <c r="V38" s="3">
        <v>0</v>
      </c>
      <c r="W38" s="3">
        <v>2.5209999999999999</v>
      </c>
      <c r="X38" s="3">
        <v>0</v>
      </c>
      <c r="Y38" s="3">
        <v>0.505</v>
      </c>
      <c r="Z38" s="1" t="s">
        <v>9</v>
      </c>
      <c r="AA38" s="1" t="s">
        <v>162</v>
      </c>
      <c r="AB38" s="1" t="s">
        <v>162</v>
      </c>
      <c r="AC38" s="1" t="s">
        <v>162</v>
      </c>
      <c r="AD38" s="1" t="s">
        <v>162</v>
      </c>
      <c r="AE38" s="1" t="s">
        <v>162</v>
      </c>
      <c r="AF38" s="1" t="s">
        <v>162</v>
      </c>
      <c r="AG38" s="3">
        <v>0.193</v>
      </c>
      <c r="AH38" s="3">
        <v>0</v>
      </c>
      <c r="AI38" s="3">
        <v>0</v>
      </c>
      <c r="AJ38" s="3">
        <v>0</v>
      </c>
      <c r="AK38" s="3">
        <v>0.64400000000000002</v>
      </c>
      <c r="AL38" s="1" t="s">
        <v>9</v>
      </c>
      <c r="AM38" s="1" t="s">
        <v>162</v>
      </c>
      <c r="AN38" s="1" t="s">
        <v>162</v>
      </c>
      <c r="AO38" s="1" t="s">
        <v>162</v>
      </c>
      <c r="AP38" s="1" t="s">
        <v>162</v>
      </c>
      <c r="AQ38" s="1" t="s">
        <v>162</v>
      </c>
      <c r="AR38" s="1" t="s">
        <v>162</v>
      </c>
    </row>
    <row r="39" spans="1:44" ht="15.75" customHeight="1" x14ac:dyDescent="0.2">
      <c r="A39" s="5" t="s">
        <v>44</v>
      </c>
      <c r="B39" s="1" t="s">
        <v>51</v>
      </c>
      <c r="C39" s="1" t="s">
        <v>6</v>
      </c>
      <c r="D39" s="8">
        <v>45028</v>
      </c>
      <c r="E39" s="6">
        <v>21.667000000000002</v>
      </c>
      <c r="F39" s="1" t="s">
        <v>7</v>
      </c>
      <c r="G39" s="1" t="s">
        <v>11</v>
      </c>
      <c r="H39" s="1" t="s">
        <v>153</v>
      </c>
      <c r="I39" s="1" t="s">
        <v>162</v>
      </c>
      <c r="J39" s="1" t="s">
        <v>162</v>
      </c>
      <c r="K39" s="1" t="s">
        <v>162</v>
      </c>
      <c r="L39" s="1" t="s">
        <v>162</v>
      </c>
      <c r="M39" s="1" t="s">
        <v>162</v>
      </c>
      <c r="N39" s="1" t="s">
        <v>162</v>
      </c>
      <c r="O39" s="3">
        <v>15.762</v>
      </c>
      <c r="P39" s="3">
        <v>17.027999999999999</v>
      </c>
      <c r="Q39" s="3">
        <v>6.258</v>
      </c>
      <c r="R39" s="3">
        <v>4.2430000000000003</v>
      </c>
      <c r="S39" s="3">
        <v>29.751999999999999</v>
      </c>
      <c r="T39" s="1" t="s">
        <v>12</v>
      </c>
      <c r="U39" s="1" t="s">
        <v>162</v>
      </c>
      <c r="V39" s="1" t="s">
        <v>162</v>
      </c>
      <c r="W39" s="1" t="s">
        <v>162</v>
      </c>
      <c r="X39" s="1" t="s">
        <v>162</v>
      </c>
      <c r="Y39" s="1" t="s">
        <v>162</v>
      </c>
      <c r="Z39" s="1" t="s">
        <v>162</v>
      </c>
      <c r="AA39" s="3">
        <v>10.132</v>
      </c>
      <c r="AB39" s="3">
        <v>1.577</v>
      </c>
      <c r="AC39" s="3">
        <v>4.2809999999999997</v>
      </c>
      <c r="AD39" s="3">
        <v>17.917000000000002</v>
      </c>
      <c r="AE39" s="3">
        <v>12.265000000000001</v>
      </c>
      <c r="AF39" s="1" t="s">
        <v>9</v>
      </c>
      <c r="AG39" s="1" t="s">
        <v>162</v>
      </c>
      <c r="AH39" s="1" t="s">
        <v>162</v>
      </c>
      <c r="AI39" s="1" t="s">
        <v>162</v>
      </c>
      <c r="AJ39" s="1" t="s">
        <v>162</v>
      </c>
      <c r="AK39" s="1" t="s">
        <v>162</v>
      </c>
      <c r="AL39" s="1" t="s">
        <v>162</v>
      </c>
      <c r="AM39" s="3">
        <v>26.158999999999999</v>
      </c>
      <c r="AN39" s="3">
        <v>15.21</v>
      </c>
      <c r="AO39" s="3">
        <v>13.997</v>
      </c>
      <c r="AP39" s="3">
        <v>7.62</v>
      </c>
      <c r="AQ39" s="3">
        <v>22.655000000000001</v>
      </c>
      <c r="AR39" s="1" t="s">
        <v>12</v>
      </c>
    </row>
    <row r="40" spans="1:44" ht="15.75" customHeight="1" x14ac:dyDescent="0.2">
      <c r="A40" s="5" t="s">
        <v>44</v>
      </c>
      <c r="B40" s="1" t="s">
        <v>52</v>
      </c>
      <c r="C40" s="1" t="s">
        <v>6</v>
      </c>
      <c r="D40" s="7">
        <v>44044</v>
      </c>
      <c r="E40" s="6">
        <v>55</v>
      </c>
      <c r="F40" s="1" t="s">
        <v>7</v>
      </c>
      <c r="G40" s="1" t="s">
        <v>11</v>
      </c>
      <c r="H40" s="1" t="s">
        <v>159</v>
      </c>
      <c r="I40" s="10" t="s">
        <v>162</v>
      </c>
      <c r="J40" s="10" t="s">
        <v>162</v>
      </c>
      <c r="K40" s="10" t="s">
        <v>162</v>
      </c>
      <c r="L40" s="10" t="s">
        <v>162</v>
      </c>
      <c r="M40" s="10" t="s">
        <v>162</v>
      </c>
      <c r="N40" s="10" t="s">
        <v>162</v>
      </c>
      <c r="O40" s="10" t="s">
        <v>162</v>
      </c>
      <c r="P40" s="10" t="s">
        <v>162</v>
      </c>
      <c r="Q40" s="10" t="s">
        <v>162</v>
      </c>
      <c r="R40" s="10" t="s">
        <v>162</v>
      </c>
      <c r="S40" s="10" t="s">
        <v>162</v>
      </c>
      <c r="T40" s="10" t="s">
        <v>162</v>
      </c>
      <c r="U40" s="10" t="s">
        <v>162</v>
      </c>
      <c r="V40" s="10" t="s">
        <v>162</v>
      </c>
      <c r="W40" s="10" t="s">
        <v>162</v>
      </c>
      <c r="X40" s="10" t="s">
        <v>162</v>
      </c>
      <c r="Y40" s="10" t="s">
        <v>162</v>
      </c>
      <c r="Z40" s="10" t="s">
        <v>162</v>
      </c>
      <c r="AA40" s="10" t="s">
        <v>162</v>
      </c>
      <c r="AB40" s="10" t="s">
        <v>162</v>
      </c>
      <c r="AC40" s="10" t="s">
        <v>162</v>
      </c>
      <c r="AD40" s="10" t="s">
        <v>162</v>
      </c>
      <c r="AE40" s="10" t="s">
        <v>162</v>
      </c>
      <c r="AF40" s="10" t="s">
        <v>162</v>
      </c>
      <c r="AG40" s="1" t="s">
        <v>162</v>
      </c>
      <c r="AH40" s="1" t="s">
        <v>162</v>
      </c>
      <c r="AI40" s="1" t="s">
        <v>162</v>
      </c>
      <c r="AJ40" s="1" t="s">
        <v>162</v>
      </c>
      <c r="AK40" s="1" t="s">
        <v>162</v>
      </c>
      <c r="AL40" s="1" t="s">
        <v>162</v>
      </c>
      <c r="AM40" s="3">
        <v>3.8679999999999999</v>
      </c>
      <c r="AN40" s="3">
        <v>0</v>
      </c>
      <c r="AO40" s="3">
        <v>0</v>
      </c>
      <c r="AP40" s="3">
        <v>2.7890000000000001</v>
      </c>
      <c r="AQ40" s="3">
        <v>0</v>
      </c>
      <c r="AR40" s="1" t="s">
        <v>9</v>
      </c>
    </row>
    <row r="41" spans="1:44" ht="15.75" customHeight="1" x14ac:dyDescent="0.2">
      <c r="A41" s="5" t="s">
        <v>44</v>
      </c>
      <c r="B41" s="1" t="s">
        <v>53</v>
      </c>
      <c r="C41" s="1" t="s">
        <v>15</v>
      </c>
      <c r="D41" s="7">
        <v>43862</v>
      </c>
      <c r="E41" s="6">
        <v>61</v>
      </c>
      <c r="F41" s="1" t="s">
        <v>7</v>
      </c>
      <c r="G41" s="1" t="s">
        <v>8</v>
      </c>
      <c r="H41" s="1" t="s">
        <v>160</v>
      </c>
      <c r="I41" s="1" t="s">
        <v>162</v>
      </c>
      <c r="J41" s="1" t="s">
        <v>162</v>
      </c>
      <c r="K41" s="1" t="s">
        <v>162</v>
      </c>
      <c r="L41" s="1" t="s">
        <v>162</v>
      </c>
      <c r="M41" s="1" t="s">
        <v>162</v>
      </c>
      <c r="N41" s="1" t="s">
        <v>162</v>
      </c>
      <c r="O41" s="3">
        <v>7.99</v>
      </c>
      <c r="P41" s="3">
        <v>0.21299999999999999</v>
      </c>
      <c r="Q41" s="3">
        <v>3.589</v>
      </c>
      <c r="R41" s="3">
        <v>0.66</v>
      </c>
      <c r="S41" s="3">
        <v>1.3939999999999999</v>
      </c>
      <c r="T41" s="1" t="s">
        <v>9</v>
      </c>
      <c r="U41" s="1" t="s">
        <v>162</v>
      </c>
      <c r="V41" s="1" t="s">
        <v>162</v>
      </c>
      <c r="W41" s="1" t="s">
        <v>162</v>
      </c>
      <c r="X41" s="1" t="s">
        <v>162</v>
      </c>
      <c r="Y41" s="1" t="s">
        <v>162</v>
      </c>
      <c r="Z41" s="1" t="s">
        <v>162</v>
      </c>
      <c r="AA41" s="3">
        <v>3.927</v>
      </c>
      <c r="AB41" s="3">
        <v>1.415</v>
      </c>
      <c r="AC41" s="3">
        <v>1.0389999999999999</v>
      </c>
      <c r="AD41" s="3">
        <v>0</v>
      </c>
      <c r="AE41" s="3">
        <v>2.0299999999999998</v>
      </c>
      <c r="AF41" s="1" t="s">
        <v>9</v>
      </c>
      <c r="AG41" s="1" t="s">
        <v>162</v>
      </c>
      <c r="AH41" s="1" t="s">
        <v>162</v>
      </c>
      <c r="AI41" s="1" t="s">
        <v>162</v>
      </c>
      <c r="AJ41" s="1" t="s">
        <v>162</v>
      </c>
      <c r="AK41" s="1" t="s">
        <v>162</v>
      </c>
      <c r="AL41" s="1" t="s">
        <v>162</v>
      </c>
      <c r="AM41" s="3">
        <v>3.1339999999999999</v>
      </c>
      <c r="AN41" s="3">
        <v>4.734</v>
      </c>
      <c r="AO41" s="3">
        <v>1.0189999999999999</v>
      </c>
      <c r="AP41" s="3">
        <v>1.9550000000000001</v>
      </c>
      <c r="AQ41" s="3">
        <v>6.6379999999999999</v>
      </c>
      <c r="AR41" s="1" t="s">
        <v>9</v>
      </c>
    </row>
    <row r="42" spans="1:44" ht="15.75" customHeight="1" x14ac:dyDescent="0.2">
      <c r="A42" s="5" t="s">
        <v>44</v>
      </c>
      <c r="B42" s="1" t="s">
        <v>54</v>
      </c>
      <c r="C42" s="1" t="s">
        <v>15</v>
      </c>
      <c r="D42" s="7">
        <v>44986</v>
      </c>
      <c r="E42" s="6">
        <v>23</v>
      </c>
      <c r="F42" s="1" t="s">
        <v>7</v>
      </c>
      <c r="G42" s="1" t="s">
        <v>11</v>
      </c>
      <c r="H42" s="1" t="s">
        <v>154</v>
      </c>
      <c r="I42" s="3">
        <v>14.02</v>
      </c>
      <c r="J42" s="3">
        <v>4.7889999999999997</v>
      </c>
      <c r="K42" s="3">
        <v>0</v>
      </c>
      <c r="L42" s="3">
        <v>15.000999999999999</v>
      </c>
      <c r="M42" s="3">
        <v>13.973000000000001</v>
      </c>
      <c r="N42" s="1" t="s">
        <v>9</v>
      </c>
      <c r="O42" s="1" t="s">
        <v>162</v>
      </c>
      <c r="P42" s="1" t="s">
        <v>162</v>
      </c>
      <c r="Q42" s="1" t="s">
        <v>162</v>
      </c>
      <c r="R42" s="1" t="s">
        <v>162</v>
      </c>
      <c r="S42" s="1" t="s">
        <v>162</v>
      </c>
      <c r="T42" s="1" t="s">
        <v>162</v>
      </c>
      <c r="U42" s="3">
        <v>5.8319999999999999</v>
      </c>
      <c r="V42" s="3">
        <v>4.9870000000000001</v>
      </c>
      <c r="W42" s="3">
        <v>4.41</v>
      </c>
      <c r="X42" s="3">
        <v>5.92</v>
      </c>
      <c r="Y42" s="3">
        <v>4.3390000000000004</v>
      </c>
      <c r="Z42" s="1" t="s">
        <v>9</v>
      </c>
      <c r="AA42" s="1" t="s">
        <v>162</v>
      </c>
      <c r="AB42" s="1" t="s">
        <v>162</v>
      </c>
      <c r="AC42" s="1" t="s">
        <v>162</v>
      </c>
      <c r="AD42" s="1" t="s">
        <v>162</v>
      </c>
      <c r="AE42" s="1" t="s">
        <v>162</v>
      </c>
      <c r="AF42" s="1" t="s">
        <v>162</v>
      </c>
      <c r="AG42" s="3">
        <v>8.9</v>
      </c>
      <c r="AH42" s="3">
        <v>2.5569999999999999</v>
      </c>
      <c r="AI42" s="3">
        <v>2.6680000000000001</v>
      </c>
      <c r="AJ42" s="3">
        <v>3.044</v>
      </c>
      <c r="AK42" s="3">
        <v>17.59</v>
      </c>
      <c r="AL42" s="1" t="s">
        <v>12</v>
      </c>
      <c r="AM42" s="1" t="s">
        <v>162</v>
      </c>
      <c r="AN42" s="1" t="s">
        <v>162</v>
      </c>
      <c r="AO42" s="1" t="s">
        <v>162</v>
      </c>
      <c r="AP42" s="1" t="s">
        <v>162</v>
      </c>
      <c r="AQ42" s="1" t="s">
        <v>162</v>
      </c>
      <c r="AR42" s="1" t="s">
        <v>162</v>
      </c>
    </row>
    <row r="43" spans="1:44" ht="15.75" customHeight="1" x14ac:dyDescent="0.2">
      <c r="A43" s="5" t="s">
        <v>44</v>
      </c>
      <c r="B43" s="1" t="s">
        <v>55</v>
      </c>
      <c r="C43" s="1" t="s">
        <v>15</v>
      </c>
      <c r="D43" s="6">
        <v>2019</v>
      </c>
      <c r="E43" s="6">
        <v>73</v>
      </c>
      <c r="F43" s="1" t="s">
        <v>7</v>
      </c>
      <c r="G43" s="1" t="s">
        <v>11</v>
      </c>
      <c r="H43" s="1" t="s">
        <v>161</v>
      </c>
      <c r="I43" s="1" t="s">
        <v>162</v>
      </c>
      <c r="J43" s="1" t="s">
        <v>162</v>
      </c>
      <c r="K43" s="1" t="s">
        <v>162</v>
      </c>
      <c r="L43" s="1" t="s">
        <v>162</v>
      </c>
      <c r="M43" s="1" t="s">
        <v>162</v>
      </c>
      <c r="N43" s="1" t="s">
        <v>162</v>
      </c>
      <c r="O43" s="3">
        <v>13.487</v>
      </c>
      <c r="P43" s="3">
        <v>0</v>
      </c>
      <c r="Q43" s="3">
        <v>2.7639999999999998</v>
      </c>
      <c r="R43" s="3">
        <v>6.6660000000000004</v>
      </c>
      <c r="S43" s="3">
        <v>10.111000000000001</v>
      </c>
      <c r="T43" s="1" t="s">
        <v>9</v>
      </c>
      <c r="U43" s="1" t="s">
        <v>162</v>
      </c>
      <c r="V43" s="1" t="s">
        <v>162</v>
      </c>
      <c r="W43" s="1" t="s">
        <v>162</v>
      </c>
      <c r="X43" s="1" t="s">
        <v>162</v>
      </c>
      <c r="Y43" s="1" t="s">
        <v>162</v>
      </c>
      <c r="Z43" s="1" t="s">
        <v>162</v>
      </c>
      <c r="AA43" s="3">
        <v>6.8369999999999997</v>
      </c>
      <c r="AB43" s="3">
        <v>3.03</v>
      </c>
      <c r="AC43" s="3">
        <v>3.9249999999999998</v>
      </c>
      <c r="AD43" s="3">
        <v>2.375</v>
      </c>
      <c r="AE43" s="3">
        <v>0.77700000000000002</v>
      </c>
      <c r="AF43" s="1" t="s">
        <v>9</v>
      </c>
      <c r="AG43" s="1" t="s">
        <v>162</v>
      </c>
      <c r="AH43" s="1" t="s">
        <v>162</v>
      </c>
      <c r="AI43" s="1" t="s">
        <v>162</v>
      </c>
      <c r="AJ43" s="1" t="s">
        <v>162</v>
      </c>
      <c r="AK43" s="1" t="s">
        <v>162</v>
      </c>
      <c r="AL43" s="1" t="s">
        <v>162</v>
      </c>
      <c r="AM43" s="3">
        <v>9.7070000000000007</v>
      </c>
      <c r="AN43" s="3">
        <v>10.553000000000001</v>
      </c>
      <c r="AO43" s="3">
        <v>0</v>
      </c>
      <c r="AP43" s="3">
        <v>8.8789999999999996</v>
      </c>
      <c r="AQ43" s="3">
        <v>2.6949999999999998</v>
      </c>
      <c r="AR43" s="1" t="s">
        <v>12</v>
      </c>
    </row>
    <row r="44" spans="1:44" ht="15.75" customHeight="1" x14ac:dyDescent="0.2">
      <c r="A44" s="5" t="s">
        <v>44</v>
      </c>
      <c r="B44" s="1" t="s">
        <v>56</v>
      </c>
      <c r="C44" s="1" t="s">
        <v>6</v>
      </c>
      <c r="D44" s="7">
        <v>44440</v>
      </c>
      <c r="E44" s="6">
        <v>41</v>
      </c>
      <c r="F44" s="1" t="s">
        <v>7</v>
      </c>
      <c r="G44" s="1" t="s">
        <v>11</v>
      </c>
      <c r="H44" s="1" t="s">
        <v>155</v>
      </c>
      <c r="I44" s="3">
        <v>4.1280000000000001</v>
      </c>
      <c r="J44" s="3">
        <v>0.69099999999999995</v>
      </c>
      <c r="K44" s="3">
        <v>0</v>
      </c>
      <c r="L44" s="3">
        <v>0.69599999999999995</v>
      </c>
      <c r="M44" s="3">
        <v>1.2549999999999999</v>
      </c>
      <c r="N44" s="1" t="s">
        <v>9</v>
      </c>
      <c r="O44" s="1" t="s">
        <v>162</v>
      </c>
      <c r="P44" s="1" t="s">
        <v>162</v>
      </c>
      <c r="Q44" s="1" t="s">
        <v>162</v>
      </c>
      <c r="R44" s="1" t="s">
        <v>162</v>
      </c>
      <c r="S44" s="1" t="s">
        <v>162</v>
      </c>
      <c r="T44" s="1" t="s">
        <v>162</v>
      </c>
      <c r="U44" s="3">
        <v>4.62</v>
      </c>
      <c r="V44" s="3">
        <v>5.0579999999999998</v>
      </c>
      <c r="W44" s="3">
        <v>6.149</v>
      </c>
      <c r="X44" s="3">
        <v>2.7730000000000001</v>
      </c>
      <c r="Y44" s="3">
        <v>3.6160000000000001</v>
      </c>
      <c r="Z44" s="1" t="s">
        <v>9</v>
      </c>
      <c r="AA44" s="1" t="s">
        <v>162</v>
      </c>
      <c r="AB44" s="1" t="s">
        <v>162</v>
      </c>
      <c r="AC44" s="1" t="s">
        <v>162</v>
      </c>
      <c r="AD44" s="1" t="s">
        <v>162</v>
      </c>
      <c r="AE44" s="1" t="s">
        <v>162</v>
      </c>
      <c r="AF44" s="1" t="s">
        <v>162</v>
      </c>
      <c r="AG44" s="3">
        <v>6.9290000000000003</v>
      </c>
      <c r="AH44" s="3">
        <v>5.1420000000000003</v>
      </c>
      <c r="AI44" s="3">
        <v>0</v>
      </c>
      <c r="AJ44" s="3">
        <v>1.2769999999999999</v>
      </c>
      <c r="AK44" s="3">
        <v>0.57899999999999996</v>
      </c>
      <c r="AL44" s="1" t="s">
        <v>12</v>
      </c>
      <c r="AM44" s="1" t="s">
        <v>162</v>
      </c>
      <c r="AN44" s="1" t="s">
        <v>162</v>
      </c>
      <c r="AO44" s="1" t="s">
        <v>162</v>
      </c>
      <c r="AP44" s="1" t="s">
        <v>162</v>
      </c>
      <c r="AQ44" s="1" t="s">
        <v>162</v>
      </c>
      <c r="AR44" s="1" t="s">
        <v>162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4"/>
  <sheetViews>
    <sheetView zoomScale="84" workbookViewId="0">
      <pane ySplit="1" topLeftCell="A2" activePane="bottomLeft" state="frozen"/>
      <selection pane="bottomLeft"/>
    </sheetView>
  </sheetViews>
  <sheetFormatPr baseColWidth="10" defaultColWidth="12.6640625" defaultRowHeight="15.75" customHeight="1" x14ac:dyDescent="0.2"/>
  <cols>
    <col min="4" max="5" width="12.6640625" style="6"/>
    <col min="6" max="6" width="13.6640625" customWidth="1"/>
    <col min="8" max="8" width="12.6640625" style="6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6" t="s">
        <v>116</v>
      </c>
      <c r="E1" s="6" t="s">
        <v>119</v>
      </c>
      <c r="F1" s="1" t="s">
        <v>3</v>
      </c>
      <c r="G1" s="1" t="s">
        <v>4</v>
      </c>
      <c r="H1" s="1" t="s">
        <v>120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</row>
    <row r="2" spans="1:26" ht="15.75" customHeight="1" x14ac:dyDescent="0.2">
      <c r="A2" s="2">
        <v>45771</v>
      </c>
      <c r="B2" s="1" t="s">
        <v>5</v>
      </c>
      <c r="C2" s="1" t="s">
        <v>6</v>
      </c>
      <c r="D2" s="7">
        <v>44409</v>
      </c>
      <c r="E2" s="6">
        <v>32</v>
      </c>
      <c r="F2" s="1" t="s">
        <v>7</v>
      </c>
      <c r="G2" s="1" t="s">
        <v>8</v>
      </c>
      <c r="H2" s="1" t="s">
        <v>121</v>
      </c>
      <c r="I2" s="1">
        <v>0.36099999999999999</v>
      </c>
      <c r="J2" s="1">
        <v>0.36799999999999999</v>
      </c>
      <c r="K2" s="1">
        <v>0.83299999999999996</v>
      </c>
      <c r="L2" s="1" t="s">
        <v>9</v>
      </c>
      <c r="M2" s="1">
        <f>K2-I2</f>
        <v>0.47199999999999998</v>
      </c>
      <c r="N2" s="1">
        <f>K2-J2</f>
        <v>0.46499999999999997</v>
      </c>
      <c r="O2" s="1">
        <v>1.512</v>
      </c>
      <c r="P2" s="1">
        <v>0.68500000000000005</v>
      </c>
      <c r="Q2" s="1">
        <v>1.29</v>
      </c>
      <c r="R2" s="1" t="s">
        <v>9</v>
      </c>
      <c r="S2" s="1">
        <f t="shared" ref="S2:S44" si="0">Q2-O2</f>
        <v>-0.22199999999999998</v>
      </c>
      <c r="T2" s="1">
        <f t="shared" ref="T2:T44" si="1">Q2-P2</f>
        <v>0.60499999999999998</v>
      </c>
      <c r="U2" s="1">
        <v>0</v>
      </c>
      <c r="V2" s="1">
        <v>1.5760000000000001</v>
      </c>
      <c r="W2" s="1">
        <v>0</v>
      </c>
      <c r="X2" s="1" t="s">
        <v>9</v>
      </c>
      <c r="Y2" s="3">
        <f t="shared" ref="Y2:Y44" si="2">W2-U2</f>
        <v>0</v>
      </c>
      <c r="Z2" s="3">
        <f t="shared" ref="Z2:Z44" si="3">W2-V2</f>
        <v>-1.5760000000000001</v>
      </c>
    </row>
    <row r="3" spans="1:26" ht="15.75" customHeight="1" x14ac:dyDescent="0.2">
      <c r="A3" s="2">
        <v>45771</v>
      </c>
      <c r="B3" s="1" t="s">
        <v>10</v>
      </c>
      <c r="C3" s="1" t="s">
        <v>6</v>
      </c>
      <c r="D3" s="7">
        <v>42309</v>
      </c>
      <c r="E3" s="6">
        <v>101</v>
      </c>
      <c r="F3" s="1" t="s">
        <v>7</v>
      </c>
      <c r="G3" s="1" t="s">
        <v>11</v>
      </c>
      <c r="H3" s="1" t="s">
        <v>122</v>
      </c>
      <c r="I3" s="1">
        <v>2.278</v>
      </c>
      <c r="J3" s="1">
        <v>2.8039999999999998</v>
      </c>
      <c r="K3" s="1">
        <v>1.405</v>
      </c>
      <c r="L3" s="1" t="s">
        <v>12</v>
      </c>
      <c r="M3" s="1">
        <f>K3-I3</f>
        <v>-0.873</v>
      </c>
      <c r="N3" s="1">
        <f>K3-J3</f>
        <v>-1.3989999999999998</v>
      </c>
      <c r="O3" s="1">
        <v>2.97</v>
      </c>
      <c r="P3" s="1">
        <v>3.2469999999999999</v>
      </c>
      <c r="Q3" s="1">
        <v>2.7189999999999999</v>
      </c>
      <c r="R3" s="1" t="s">
        <v>12</v>
      </c>
      <c r="S3" s="1">
        <f t="shared" si="0"/>
        <v>-0.25100000000000033</v>
      </c>
      <c r="T3" s="1">
        <f t="shared" si="1"/>
        <v>-0.52800000000000002</v>
      </c>
      <c r="U3" s="1">
        <v>4.0410000000000004</v>
      </c>
      <c r="V3" s="1">
        <v>3.67</v>
      </c>
      <c r="W3" s="1">
        <v>8.4030000000000005</v>
      </c>
      <c r="X3" s="1" t="s">
        <v>9</v>
      </c>
      <c r="Y3" s="3">
        <f t="shared" si="2"/>
        <v>4.3620000000000001</v>
      </c>
      <c r="Z3" s="3">
        <f t="shared" si="3"/>
        <v>4.7330000000000005</v>
      </c>
    </row>
    <row r="4" spans="1:26" ht="15.75" customHeight="1" x14ac:dyDescent="0.2">
      <c r="A4" s="2">
        <v>45771</v>
      </c>
      <c r="B4" s="1" t="s">
        <v>13</v>
      </c>
      <c r="C4" s="1" t="s">
        <v>6</v>
      </c>
      <c r="D4" s="8">
        <v>43845</v>
      </c>
      <c r="E4" s="6">
        <v>50.548000000000002</v>
      </c>
      <c r="F4" s="1" t="s">
        <v>7</v>
      </c>
      <c r="G4" s="1" t="s">
        <v>8</v>
      </c>
      <c r="H4" s="1" t="s">
        <v>123</v>
      </c>
      <c r="I4" s="1">
        <v>0.92600000000000005</v>
      </c>
      <c r="J4" s="1">
        <v>1.081</v>
      </c>
      <c r="K4" s="1">
        <v>0.26</v>
      </c>
      <c r="L4" s="1" t="s">
        <v>12</v>
      </c>
      <c r="M4" s="1">
        <f>K4-I4</f>
        <v>-0.66600000000000004</v>
      </c>
      <c r="N4" s="1">
        <f t="shared" ref="N4:N44" si="4">K4-J4</f>
        <v>-0.82099999999999995</v>
      </c>
      <c r="O4" s="1">
        <v>3.0150000000000001</v>
      </c>
      <c r="P4" s="1">
        <v>1.2230000000000001</v>
      </c>
      <c r="Q4" s="1">
        <v>3.6859999999999999</v>
      </c>
      <c r="R4" s="1" t="s">
        <v>12</v>
      </c>
      <c r="S4" s="1">
        <f t="shared" si="0"/>
        <v>0.67099999999999982</v>
      </c>
      <c r="T4" s="1">
        <f t="shared" si="1"/>
        <v>2.4630000000000001</v>
      </c>
      <c r="U4" s="1">
        <v>4.1360000000000001</v>
      </c>
      <c r="V4" s="1">
        <v>7.0170000000000003</v>
      </c>
      <c r="W4" s="1">
        <v>2.105</v>
      </c>
      <c r="X4" s="1" t="s">
        <v>9</v>
      </c>
      <c r="Y4" s="3">
        <f t="shared" si="2"/>
        <v>-2.0310000000000001</v>
      </c>
      <c r="Z4" s="3">
        <f t="shared" si="3"/>
        <v>-4.9120000000000008</v>
      </c>
    </row>
    <row r="5" spans="1:26" ht="15.75" customHeight="1" x14ac:dyDescent="0.2">
      <c r="A5" s="2">
        <v>45771</v>
      </c>
      <c r="B5" s="1" t="s">
        <v>14</v>
      </c>
      <c r="C5" s="1" t="s">
        <v>15</v>
      </c>
      <c r="D5" s="8">
        <v>44639</v>
      </c>
      <c r="E5" s="6">
        <v>24.419</v>
      </c>
      <c r="F5" s="1" t="s">
        <v>7</v>
      </c>
      <c r="G5" s="1" t="s">
        <v>11</v>
      </c>
      <c r="H5" s="1" t="s">
        <v>124</v>
      </c>
      <c r="I5" s="1">
        <v>1.2729999999999999</v>
      </c>
      <c r="J5" s="1">
        <v>9.9719999999999995</v>
      </c>
      <c r="K5" s="1">
        <v>4.2460000000000004</v>
      </c>
      <c r="L5" s="1" t="s">
        <v>9</v>
      </c>
      <c r="M5" s="1">
        <f t="shared" ref="M5:M44" si="5">K5-I5</f>
        <v>2.9730000000000008</v>
      </c>
      <c r="N5" s="1">
        <f t="shared" si="4"/>
        <v>-5.7259999999999991</v>
      </c>
      <c r="O5" s="1">
        <v>1.929</v>
      </c>
      <c r="P5" s="1">
        <v>1.7410000000000001</v>
      </c>
      <c r="Q5" s="1">
        <v>2.35</v>
      </c>
      <c r="R5" s="1" t="s">
        <v>12</v>
      </c>
      <c r="S5" s="1">
        <f t="shared" si="0"/>
        <v>0.42100000000000004</v>
      </c>
      <c r="T5" s="1">
        <f t="shared" si="1"/>
        <v>0.60899999999999999</v>
      </c>
      <c r="U5" s="1">
        <v>2.6949999999999998</v>
      </c>
      <c r="V5" s="1">
        <v>1.7809999999999999</v>
      </c>
      <c r="W5" s="1">
        <v>1.7290000000000001</v>
      </c>
      <c r="X5" s="1" t="s">
        <v>9</v>
      </c>
      <c r="Y5" s="3">
        <f t="shared" si="2"/>
        <v>-0.96599999999999975</v>
      </c>
      <c r="Z5" s="3">
        <f t="shared" si="3"/>
        <v>-5.1999999999999824E-2</v>
      </c>
    </row>
    <row r="6" spans="1:26" ht="15.75" customHeight="1" x14ac:dyDescent="0.2">
      <c r="A6" s="2">
        <v>45771</v>
      </c>
      <c r="B6" s="1" t="s">
        <v>16</v>
      </c>
      <c r="C6" s="1" t="s">
        <v>6</v>
      </c>
      <c r="D6" s="7">
        <v>40909</v>
      </c>
      <c r="E6" s="6">
        <v>147</v>
      </c>
      <c r="F6" s="1" t="s">
        <v>7</v>
      </c>
      <c r="G6" s="1" t="s">
        <v>8</v>
      </c>
      <c r="H6" s="1" t="s">
        <v>125</v>
      </c>
      <c r="I6" s="1">
        <v>0</v>
      </c>
      <c r="J6" s="1">
        <v>0</v>
      </c>
      <c r="K6" s="1">
        <v>0.76900000000000002</v>
      </c>
      <c r="L6" s="1" t="s">
        <v>9</v>
      </c>
      <c r="M6" s="1">
        <f t="shared" si="5"/>
        <v>0.76900000000000002</v>
      </c>
      <c r="N6" s="1">
        <f t="shared" si="4"/>
        <v>0.76900000000000002</v>
      </c>
      <c r="O6" s="1">
        <v>1.58</v>
      </c>
      <c r="P6" s="1">
        <v>0.72899999999999998</v>
      </c>
      <c r="Q6" s="1">
        <v>0</v>
      </c>
      <c r="R6" s="1" t="s">
        <v>12</v>
      </c>
      <c r="S6" s="1">
        <f t="shared" si="0"/>
        <v>-1.58</v>
      </c>
      <c r="T6" s="1">
        <f t="shared" si="1"/>
        <v>-0.72899999999999998</v>
      </c>
      <c r="U6" s="1">
        <v>1.577</v>
      </c>
      <c r="V6" s="1">
        <v>0.19</v>
      </c>
      <c r="W6" s="1">
        <v>4.1120000000000001</v>
      </c>
      <c r="X6" s="1" t="s">
        <v>12</v>
      </c>
      <c r="Y6" s="3">
        <f t="shared" si="2"/>
        <v>2.5350000000000001</v>
      </c>
      <c r="Z6" s="3">
        <f t="shared" si="3"/>
        <v>3.9220000000000002</v>
      </c>
    </row>
    <row r="7" spans="1:26" ht="15.75" customHeight="1" x14ac:dyDescent="0.2">
      <c r="A7" s="2">
        <v>45771</v>
      </c>
      <c r="B7" s="1" t="s">
        <v>17</v>
      </c>
      <c r="C7" s="1" t="s">
        <v>6</v>
      </c>
      <c r="D7" s="7">
        <v>44501</v>
      </c>
      <c r="E7" s="6">
        <v>29</v>
      </c>
      <c r="F7" s="1" t="s">
        <v>7</v>
      </c>
      <c r="G7" s="1" t="s">
        <v>8</v>
      </c>
      <c r="H7" s="1" t="s">
        <v>126</v>
      </c>
      <c r="I7" s="1">
        <v>1.917</v>
      </c>
      <c r="J7" s="1">
        <v>1.577</v>
      </c>
      <c r="K7" s="1">
        <v>4.6210000000000004</v>
      </c>
      <c r="L7" s="1" t="s">
        <v>12</v>
      </c>
      <c r="M7" s="1">
        <f t="shared" si="5"/>
        <v>2.7040000000000006</v>
      </c>
      <c r="N7" s="1">
        <f t="shared" si="4"/>
        <v>3.0440000000000005</v>
      </c>
      <c r="O7" s="1">
        <v>5.2119999999999997</v>
      </c>
      <c r="P7" s="1">
        <v>2.448</v>
      </c>
      <c r="Q7" s="1">
        <v>1.4259999999999999</v>
      </c>
      <c r="R7" s="1" t="s">
        <v>12</v>
      </c>
      <c r="S7" s="1">
        <f t="shared" si="0"/>
        <v>-3.7859999999999996</v>
      </c>
      <c r="T7" s="1">
        <f t="shared" si="1"/>
        <v>-1.022</v>
      </c>
      <c r="U7" s="1">
        <v>2.3250000000000002</v>
      </c>
      <c r="V7" s="1">
        <v>2.5249999999999999</v>
      </c>
      <c r="W7" s="1">
        <v>4.976</v>
      </c>
      <c r="X7" s="1" t="s">
        <v>9</v>
      </c>
      <c r="Y7" s="3">
        <f t="shared" si="2"/>
        <v>2.6509999999999998</v>
      </c>
      <c r="Z7" s="3">
        <f t="shared" si="3"/>
        <v>2.4510000000000001</v>
      </c>
    </row>
    <row r="8" spans="1:26" ht="15.75" customHeight="1" x14ac:dyDescent="0.2">
      <c r="A8" s="2">
        <v>45771</v>
      </c>
      <c r="B8" s="1" t="s">
        <v>18</v>
      </c>
      <c r="C8" s="1" t="s">
        <v>6</v>
      </c>
      <c r="D8" s="8">
        <v>44155</v>
      </c>
      <c r="E8" s="6">
        <v>16.399999999999999</v>
      </c>
      <c r="F8" s="1" t="s">
        <v>7</v>
      </c>
      <c r="G8" s="1" t="s">
        <v>11</v>
      </c>
      <c r="H8" s="1" t="s">
        <v>127</v>
      </c>
      <c r="I8" s="1">
        <v>1.946</v>
      </c>
      <c r="J8" s="1">
        <v>1.3009999999999999</v>
      </c>
      <c r="K8" s="1">
        <v>1.292</v>
      </c>
      <c r="L8" s="1" t="s">
        <v>9</v>
      </c>
      <c r="M8" s="1">
        <f t="shared" si="5"/>
        <v>-0.65399999999999991</v>
      </c>
      <c r="N8" s="1">
        <f t="shared" si="4"/>
        <v>-8.999999999999897E-3</v>
      </c>
      <c r="O8" s="1">
        <v>1.06</v>
      </c>
      <c r="P8" s="1">
        <v>0</v>
      </c>
      <c r="Q8" s="1">
        <v>0.56699999999999995</v>
      </c>
      <c r="R8" s="1" t="s">
        <v>9</v>
      </c>
      <c r="S8" s="1">
        <f t="shared" si="0"/>
        <v>-0.4930000000000001</v>
      </c>
      <c r="T8" s="1">
        <f t="shared" si="1"/>
        <v>0.56699999999999995</v>
      </c>
      <c r="U8" s="1">
        <v>0.219</v>
      </c>
      <c r="V8" s="1">
        <v>0</v>
      </c>
      <c r="W8" s="1">
        <v>1.2909999999999999</v>
      </c>
      <c r="X8" s="1" t="s">
        <v>9</v>
      </c>
      <c r="Y8" s="3">
        <f t="shared" si="2"/>
        <v>1.0719999999999998</v>
      </c>
      <c r="Z8" s="3">
        <f t="shared" si="3"/>
        <v>1.2909999999999999</v>
      </c>
    </row>
    <row r="9" spans="1:26" ht="15.75" customHeight="1" x14ac:dyDescent="0.2">
      <c r="A9" s="2">
        <v>45771</v>
      </c>
      <c r="B9" s="1" t="s">
        <v>19</v>
      </c>
      <c r="C9" s="1" t="s">
        <v>6</v>
      </c>
      <c r="D9" s="7">
        <v>43282</v>
      </c>
      <c r="E9" s="6">
        <v>69</v>
      </c>
      <c r="F9" s="1" t="s">
        <v>7</v>
      </c>
      <c r="G9" s="1" t="s">
        <v>11</v>
      </c>
      <c r="H9" s="1" t="s">
        <v>128</v>
      </c>
      <c r="I9" s="1">
        <v>0</v>
      </c>
      <c r="J9" s="1">
        <v>4.8869999999999996</v>
      </c>
      <c r="K9" s="1">
        <v>0</v>
      </c>
      <c r="L9" s="1" t="s">
        <v>12</v>
      </c>
      <c r="M9" s="1">
        <f t="shared" si="5"/>
        <v>0</v>
      </c>
      <c r="N9" s="1">
        <f t="shared" si="4"/>
        <v>-4.8869999999999996</v>
      </c>
      <c r="O9" s="1">
        <v>0</v>
      </c>
      <c r="P9" s="1">
        <v>1.419</v>
      </c>
      <c r="Q9" s="1">
        <v>8.1890000000000001</v>
      </c>
      <c r="R9" s="1" t="s">
        <v>9</v>
      </c>
      <c r="S9" s="1">
        <f t="shared" si="0"/>
        <v>8.1890000000000001</v>
      </c>
      <c r="T9" s="1">
        <f t="shared" si="1"/>
        <v>6.77</v>
      </c>
      <c r="U9" s="1">
        <v>0</v>
      </c>
      <c r="V9" s="1">
        <v>8.2829999999999995</v>
      </c>
      <c r="W9" s="1">
        <v>0</v>
      </c>
      <c r="X9" s="1" t="s">
        <v>12</v>
      </c>
      <c r="Y9" s="3">
        <f t="shared" si="2"/>
        <v>0</v>
      </c>
      <c r="Z9" s="3">
        <f t="shared" si="3"/>
        <v>-8.2829999999999995</v>
      </c>
    </row>
    <row r="10" spans="1:26" ht="15.75" customHeight="1" x14ac:dyDescent="0.2">
      <c r="A10" s="2">
        <v>45771</v>
      </c>
      <c r="B10" s="1" t="s">
        <v>20</v>
      </c>
      <c r="C10" s="1" t="s">
        <v>15</v>
      </c>
      <c r="D10" s="8">
        <v>44336</v>
      </c>
      <c r="E10" s="6">
        <v>34.387</v>
      </c>
      <c r="F10" s="1" t="s">
        <v>7</v>
      </c>
      <c r="G10" s="1" t="s">
        <v>11</v>
      </c>
      <c r="H10" s="1" t="s">
        <v>129</v>
      </c>
      <c r="I10" s="1">
        <v>2.024</v>
      </c>
      <c r="J10" s="1">
        <v>1.405</v>
      </c>
      <c r="K10" s="1">
        <v>7.9649999999999999</v>
      </c>
      <c r="L10" s="1" t="s">
        <v>9</v>
      </c>
      <c r="M10" s="1">
        <f t="shared" si="5"/>
        <v>5.9409999999999998</v>
      </c>
      <c r="N10" s="1">
        <f t="shared" si="4"/>
        <v>6.56</v>
      </c>
      <c r="O10" s="1">
        <v>1.385</v>
      </c>
      <c r="P10" s="1">
        <v>9.4920000000000009</v>
      </c>
      <c r="Q10" s="1">
        <v>3.98</v>
      </c>
      <c r="R10" s="1" t="s">
        <v>9</v>
      </c>
      <c r="S10" s="1">
        <f t="shared" si="0"/>
        <v>2.5949999999999998</v>
      </c>
      <c r="T10" s="1">
        <f t="shared" si="1"/>
        <v>-5.5120000000000005</v>
      </c>
      <c r="U10" s="1">
        <v>4.4359999999999999</v>
      </c>
      <c r="V10" s="1">
        <v>1.8759999999999999</v>
      </c>
      <c r="W10" s="1">
        <v>3.738</v>
      </c>
      <c r="X10" s="1" t="s">
        <v>9</v>
      </c>
      <c r="Y10" s="3">
        <f t="shared" si="2"/>
        <v>-0.69799999999999995</v>
      </c>
      <c r="Z10" s="3">
        <f t="shared" si="3"/>
        <v>1.8620000000000001</v>
      </c>
    </row>
    <row r="11" spans="1:26" ht="15.75" customHeight="1" x14ac:dyDescent="0.2">
      <c r="A11" s="2">
        <v>45771</v>
      </c>
      <c r="B11" s="1" t="s">
        <v>21</v>
      </c>
      <c r="C11" s="1" t="s">
        <v>15</v>
      </c>
      <c r="D11" s="8">
        <v>44809</v>
      </c>
      <c r="E11" s="6">
        <v>18.899999999999999</v>
      </c>
      <c r="F11" s="1" t="s">
        <v>7</v>
      </c>
      <c r="G11" s="1" t="s">
        <v>11</v>
      </c>
      <c r="H11" s="1" t="s">
        <v>130</v>
      </c>
      <c r="I11" s="1">
        <v>3.895</v>
      </c>
      <c r="J11" s="1">
        <v>3.0089999999999999</v>
      </c>
      <c r="K11" s="1">
        <v>12.082000000000001</v>
      </c>
      <c r="L11" s="1" t="s">
        <v>12</v>
      </c>
      <c r="M11" s="1">
        <f t="shared" si="5"/>
        <v>8.1870000000000012</v>
      </c>
      <c r="N11" s="1">
        <f t="shared" si="4"/>
        <v>9.0730000000000004</v>
      </c>
      <c r="O11" s="1">
        <v>4.2560000000000002</v>
      </c>
      <c r="P11" s="1">
        <v>2.1909999999999998</v>
      </c>
      <c r="Q11" s="1">
        <v>2.375</v>
      </c>
      <c r="R11" s="1" t="s">
        <v>12</v>
      </c>
      <c r="S11" s="1">
        <f t="shared" si="0"/>
        <v>-1.8810000000000002</v>
      </c>
      <c r="T11" s="1">
        <f t="shared" si="1"/>
        <v>0.18400000000000016</v>
      </c>
      <c r="U11" s="1">
        <v>4.2350000000000003</v>
      </c>
      <c r="V11" s="1">
        <v>6.1</v>
      </c>
      <c r="W11" s="1">
        <v>1.2649999999999999</v>
      </c>
      <c r="X11" s="1" t="s">
        <v>12</v>
      </c>
      <c r="Y11" s="3">
        <f t="shared" si="2"/>
        <v>-2.9700000000000006</v>
      </c>
      <c r="Z11" s="3">
        <f t="shared" si="3"/>
        <v>-4.835</v>
      </c>
    </row>
    <row r="12" spans="1:26" ht="15.75" customHeight="1" x14ac:dyDescent="0.2">
      <c r="A12" s="2">
        <v>45771</v>
      </c>
      <c r="B12" s="1" t="s">
        <v>22</v>
      </c>
      <c r="C12" s="1" t="s">
        <v>15</v>
      </c>
      <c r="D12" s="7">
        <v>44256</v>
      </c>
      <c r="E12" s="6">
        <v>37</v>
      </c>
      <c r="F12" s="1" t="s">
        <v>7</v>
      </c>
      <c r="G12" s="1" t="s">
        <v>8</v>
      </c>
      <c r="H12" s="1" t="s">
        <v>149</v>
      </c>
      <c r="I12" s="1">
        <v>4.8719999999999999</v>
      </c>
      <c r="J12" s="1">
        <v>0.90800000000000003</v>
      </c>
      <c r="K12" s="1">
        <v>11.475</v>
      </c>
      <c r="L12" s="1" t="s">
        <v>9</v>
      </c>
      <c r="M12" s="1">
        <f t="shared" si="5"/>
        <v>6.6029999999999998</v>
      </c>
      <c r="N12" s="1">
        <f t="shared" si="4"/>
        <v>10.567</v>
      </c>
      <c r="O12" s="1">
        <v>2.9079999999999999</v>
      </c>
      <c r="P12" s="1">
        <v>10.627000000000001</v>
      </c>
      <c r="Q12" s="1">
        <v>3.7530000000000001</v>
      </c>
      <c r="R12" s="1" t="s">
        <v>12</v>
      </c>
      <c r="S12" s="1">
        <f t="shared" si="0"/>
        <v>0.8450000000000002</v>
      </c>
      <c r="T12" s="1">
        <f t="shared" si="1"/>
        <v>-6.8740000000000006</v>
      </c>
      <c r="U12" s="1">
        <v>4.0540000000000003</v>
      </c>
      <c r="V12" s="1">
        <v>1.9259999999999999</v>
      </c>
      <c r="W12" s="1">
        <v>8.9130000000000003</v>
      </c>
      <c r="X12" s="1" t="s">
        <v>9</v>
      </c>
      <c r="Y12" s="3">
        <f t="shared" si="2"/>
        <v>4.859</v>
      </c>
      <c r="Z12" s="3">
        <f t="shared" si="3"/>
        <v>6.9870000000000001</v>
      </c>
    </row>
    <row r="13" spans="1:26" ht="15.75" customHeight="1" x14ac:dyDescent="0.2">
      <c r="A13" s="2">
        <v>45771</v>
      </c>
      <c r="B13" s="1" t="s">
        <v>23</v>
      </c>
      <c r="C13" s="1" t="s">
        <v>15</v>
      </c>
      <c r="D13" s="7">
        <v>44682</v>
      </c>
      <c r="E13" s="6">
        <v>23</v>
      </c>
      <c r="F13" s="1" t="s">
        <v>7</v>
      </c>
      <c r="G13" s="1" t="s">
        <v>8</v>
      </c>
      <c r="H13" s="1" t="s">
        <v>131</v>
      </c>
      <c r="I13" s="1">
        <v>1.4</v>
      </c>
      <c r="J13" s="1">
        <v>2.8769999999999998</v>
      </c>
      <c r="K13" s="1">
        <v>4.2610000000000001</v>
      </c>
      <c r="L13" s="1" t="s">
        <v>12</v>
      </c>
      <c r="M13" s="1">
        <f t="shared" si="5"/>
        <v>2.8610000000000002</v>
      </c>
      <c r="N13" s="1">
        <f t="shared" si="4"/>
        <v>1.3840000000000003</v>
      </c>
      <c r="O13" s="1">
        <v>2.657</v>
      </c>
      <c r="P13" s="1">
        <v>1.8140000000000001</v>
      </c>
      <c r="Q13" s="1">
        <v>2.8809999999999998</v>
      </c>
      <c r="R13" s="1" t="s">
        <v>12</v>
      </c>
      <c r="S13" s="1">
        <f t="shared" si="0"/>
        <v>0.22399999999999975</v>
      </c>
      <c r="T13" s="1">
        <f t="shared" si="1"/>
        <v>1.0669999999999997</v>
      </c>
      <c r="U13" s="1">
        <v>1.6830000000000001</v>
      </c>
      <c r="V13" s="1">
        <v>3.86</v>
      </c>
      <c r="W13" s="1">
        <v>7.7190000000000003</v>
      </c>
      <c r="X13" s="1" t="s">
        <v>12</v>
      </c>
      <c r="Y13" s="3">
        <f t="shared" si="2"/>
        <v>6.0360000000000005</v>
      </c>
      <c r="Z13" s="3">
        <f t="shared" si="3"/>
        <v>3.8590000000000004</v>
      </c>
    </row>
    <row r="14" spans="1:26" ht="15.75" customHeight="1" x14ac:dyDescent="0.2">
      <c r="A14" s="2">
        <v>45771</v>
      </c>
      <c r="B14" s="1" t="s">
        <v>24</v>
      </c>
      <c r="C14" s="1" t="s">
        <v>15</v>
      </c>
      <c r="D14" s="7">
        <v>42767</v>
      </c>
      <c r="E14" s="6">
        <v>86</v>
      </c>
      <c r="F14" s="1" t="s">
        <v>7</v>
      </c>
      <c r="G14" s="1" t="s">
        <v>8</v>
      </c>
      <c r="H14" s="1" t="s">
        <v>132</v>
      </c>
      <c r="I14" s="1">
        <v>3.6070000000000002</v>
      </c>
      <c r="J14" s="1">
        <v>1.673</v>
      </c>
      <c r="K14" s="1">
        <v>3.2290000000000001</v>
      </c>
      <c r="L14" s="1" t="s">
        <v>9</v>
      </c>
      <c r="M14" s="1">
        <f t="shared" si="5"/>
        <v>-0.37800000000000011</v>
      </c>
      <c r="N14" s="1">
        <f t="shared" si="4"/>
        <v>1.556</v>
      </c>
      <c r="O14" s="1">
        <v>7.4640000000000004</v>
      </c>
      <c r="P14" s="1">
        <v>11.85</v>
      </c>
      <c r="Q14" s="1">
        <v>9.8149999999999995</v>
      </c>
      <c r="R14" s="1" t="s">
        <v>12</v>
      </c>
      <c r="S14" s="1">
        <f t="shared" si="0"/>
        <v>2.3509999999999991</v>
      </c>
      <c r="T14" s="1">
        <f t="shared" si="1"/>
        <v>-2.0350000000000001</v>
      </c>
      <c r="U14" s="1">
        <v>2.008</v>
      </c>
      <c r="V14" s="1">
        <v>1.3380000000000001</v>
      </c>
      <c r="W14" s="1">
        <v>2.3580000000000001</v>
      </c>
      <c r="X14" s="1" t="s">
        <v>12</v>
      </c>
      <c r="Y14" s="3">
        <f t="shared" si="2"/>
        <v>0.35000000000000009</v>
      </c>
      <c r="Z14" s="3">
        <f t="shared" si="3"/>
        <v>1.02</v>
      </c>
    </row>
    <row r="15" spans="1:26" ht="15.75" customHeight="1" x14ac:dyDescent="0.2">
      <c r="A15" s="2">
        <v>45771</v>
      </c>
      <c r="B15" s="1" t="s">
        <v>25</v>
      </c>
      <c r="C15" s="1" t="s">
        <v>6</v>
      </c>
      <c r="D15" s="7">
        <v>40330</v>
      </c>
      <c r="E15" s="6">
        <v>166</v>
      </c>
      <c r="F15" s="1" t="s">
        <v>7</v>
      </c>
      <c r="G15" s="1" t="s">
        <v>11</v>
      </c>
      <c r="H15" s="1" t="s">
        <v>133</v>
      </c>
      <c r="I15" s="1">
        <v>0</v>
      </c>
      <c r="J15" s="1">
        <v>5.1130000000000004</v>
      </c>
      <c r="K15" s="1">
        <v>4.2450000000000001</v>
      </c>
      <c r="L15" s="1" t="s">
        <v>9</v>
      </c>
      <c r="M15" s="1">
        <f t="shared" si="5"/>
        <v>4.2450000000000001</v>
      </c>
      <c r="N15" s="1">
        <f t="shared" si="4"/>
        <v>-0.86800000000000033</v>
      </c>
      <c r="O15" s="1">
        <v>0.19600000000000001</v>
      </c>
      <c r="P15" s="1">
        <v>1.288</v>
      </c>
      <c r="Q15" s="1">
        <v>1.877</v>
      </c>
      <c r="R15" s="1" t="s">
        <v>9</v>
      </c>
      <c r="S15" s="1">
        <f t="shared" si="0"/>
        <v>1.681</v>
      </c>
      <c r="T15" s="1">
        <f t="shared" si="1"/>
        <v>0.58899999999999997</v>
      </c>
      <c r="U15" s="1">
        <v>0.77700000000000002</v>
      </c>
      <c r="V15" s="1">
        <v>1.105</v>
      </c>
      <c r="W15" s="1">
        <v>1.9019999999999999</v>
      </c>
      <c r="X15" s="1" t="s">
        <v>12</v>
      </c>
      <c r="Y15" s="3">
        <f t="shared" si="2"/>
        <v>1.125</v>
      </c>
      <c r="Z15" s="3">
        <f t="shared" si="3"/>
        <v>0.79699999999999993</v>
      </c>
    </row>
    <row r="16" spans="1:26" ht="15.75" customHeight="1" x14ac:dyDescent="0.2">
      <c r="A16" s="4">
        <v>45985</v>
      </c>
      <c r="B16" s="1" t="s">
        <v>26</v>
      </c>
      <c r="C16" s="1" t="s">
        <v>15</v>
      </c>
      <c r="D16" s="8">
        <v>43827</v>
      </c>
      <c r="E16" s="6">
        <v>58.128999999999998</v>
      </c>
      <c r="F16" s="1" t="s">
        <v>7</v>
      </c>
      <c r="G16" s="1" t="s">
        <v>8</v>
      </c>
      <c r="H16" s="1" t="s">
        <v>134</v>
      </c>
      <c r="I16" s="1">
        <v>0</v>
      </c>
      <c r="J16" s="1">
        <v>2.4910000000000001</v>
      </c>
      <c r="K16" s="1">
        <v>1.2450000000000001</v>
      </c>
      <c r="L16" s="1" t="s">
        <v>12</v>
      </c>
      <c r="M16" s="1">
        <f t="shared" si="5"/>
        <v>1.2450000000000001</v>
      </c>
      <c r="N16" s="1">
        <f t="shared" si="4"/>
        <v>-1.246</v>
      </c>
      <c r="O16" s="1">
        <v>0</v>
      </c>
      <c r="P16" s="1">
        <v>3.1070000000000002</v>
      </c>
      <c r="Q16" s="1">
        <v>2.0459999999999998</v>
      </c>
      <c r="R16" s="1" t="s">
        <v>12</v>
      </c>
      <c r="S16" s="1">
        <f t="shared" si="0"/>
        <v>2.0459999999999998</v>
      </c>
      <c r="T16" s="1">
        <f t="shared" si="1"/>
        <v>-1.0610000000000004</v>
      </c>
      <c r="U16" s="1">
        <v>1.302</v>
      </c>
      <c r="V16" s="1">
        <v>1.984</v>
      </c>
      <c r="W16" s="1">
        <v>0.88100000000000001</v>
      </c>
      <c r="X16" s="1" t="s">
        <v>9</v>
      </c>
      <c r="Y16" s="3">
        <f t="shared" si="2"/>
        <v>-0.42100000000000004</v>
      </c>
      <c r="Z16" s="3">
        <f t="shared" si="3"/>
        <v>-1.103</v>
      </c>
    </row>
    <row r="17" spans="1:26" ht="15.75" customHeight="1" x14ac:dyDescent="0.2">
      <c r="A17" s="4">
        <v>45985</v>
      </c>
      <c r="B17" s="1" t="s">
        <v>27</v>
      </c>
      <c r="C17" s="1" t="s">
        <v>6</v>
      </c>
      <c r="D17" s="8">
        <v>44629</v>
      </c>
      <c r="E17" s="6">
        <v>31.742000000000001</v>
      </c>
      <c r="F17" s="1" t="s">
        <v>7</v>
      </c>
      <c r="G17" s="1" t="s">
        <v>8</v>
      </c>
      <c r="H17" s="1" t="s">
        <v>135</v>
      </c>
      <c r="I17" s="1">
        <v>0.45500000000000002</v>
      </c>
      <c r="J17" s="1">
        <v>5.1890000000000001</v>
      </c>
      <c r="K17" s="1">
        <v>5.6180000000000003</v>
      </c>
      <c r="L17" s="1" t="s">
        <v>12</v>
      </c>
      <c r="M17" s="1">
        <f t="shared" si="5"/>
        <v>5.1630000000000003</v>
      </c>
      <c r="N17" s="1">
        <f t="shared" si="4"/>
        <v>0.42900000000000027</v>
      </c>
      <c r="O17" s="1">
        <v>1.331</v>
      </c>
      <c r="P17" s="1">
        <v>0.98199999999999998</v>
      </c>
      <c r="Q17" s="1">
        <v>2.0630000000000002</v>
      </c>
      <c r="R17" s="1" t="s">
        <v>9</v>
      </c>
      <c r="S17" s="1">
        <f t="shared" si="0"/>
        <v>0.73200000000000021</v>
      </c>
      <c r="T17" s="1">
        <f t="shared" si="1"/>
        <v>1.0810000000000002</v>
      </c>
      <c r="U17" s="1">
        <v>2.4239999999999999</v>
      </c>
      <c r="V17" s="1">
        <v>1.161</v>
      </c>
      <c r="W17" s="1">
        <v>1.0900000000000001</v>
      </c>
      <c r="X17" s="1" t="s">
        <v>12</v>
      </c>
      <c r="Y17" s="3">
        <f t="shared" si="2"/>
        <v>-1.3339999999999999</v>
      </c>
      <c r="Z17" s="3">
        <f t="shared" si="3"/>
        <v>-7.0999999999999952E-2</v>
      </c>
    </row>
    <row r="18" spans="1:26" ht="15.75" customHeight="1" x14ac:dyDescent="0.2">
      <c r="A18" s="4">
        <v>45985</v>
      </c>
      <c r="B18" s="1" t="s">
        <v>28</v>
      </c>
      <c r="C18" s="1" t="s">
        <v>6</v>
      </c>
      <c r="D18" s="7">
        <v>44075</v>
      </c>
      <c r="E18" s="6">
        <v>50</v>
      </c>
      <c r="F18" s="1" t="s">
        <v>7</v>
      </c>
      <c r="G18" s="1" t="s">
        <v>8</v>
      </c>
      <c r="H18" s="1" t="s">
        <v>136</v>
      </c>
      <c r="I18" s="1">
        <v>2.35</v>
      </c>
      <c r="J18" s="1">
        <v>7.3819999999999997</v>
      </c>
      <c r="K18" s="1">
        <v>6.5590000000000002</v>
      </c>
      <c r="L18" s="1" t="s">
        <v>12</v>
      </c>
      <c r="M18" s="1">
        <f t="shared" si="5"/>
        <v>4.2089999999999996</v>
      </c>
      <c r="N18" s="1">
        <f t="shared" si="4"/>
        <v>-0.82299999999999951</v>
      </c>
      <c r="O18" s="1">
        <v>4.2779999999999996</v>
      </c>
      <c r="P18" s="1">
        <v>0.65</v>
      </c>
      <c r="Q18" s="1">
        <v>2.403</v>
      </c>
      <c r="R18" s="1" t="s">
        <v>9</v>
      </c>
      <c r="S18" s="1">
        <f t="shared" si="0"/>
        <v>-1.8749999999999996</v>
      </c>
      <c r="T18" s="1">
        <f t="shared" si="1"/>
        <v>1.7530000000000001</v>
      </c>
      <c r="U18" s="10" t="s">
        <v>162</v>
      </c>
      <c r="V18" s="10" t="s">
        <v>162</v>
      </c>
      <c r="W18" s="10" t="s">
        <v>162</v>
      </c>
      <c r="X18" s="10" t="s">
        <v>162</v>
      </c>
      <c r="Y18" s="10" t="s">
        <v>162</v>
      </c>
      <c r="Z18" s="10" t="s">
        <v>162</v>
      </c>
    </row>
    <row r="19" spans="1:26" ht="15.75" customHeight="1" x14ac:dyDescent="0.2">
      <c r="A19" s="4">
        <v>45985</v>
      </c>
      <c r="B19" s="1" t="s">
        <v>29</v>
      </c>
      <c r="C19" s="1" t="s">
        <v>6</v>
      </c>
      <c r="D19" s="8">
        <v>43282</v>
      </c>
      <c r="E19" s="6">
        <v>76</v>
      </c>
      <c r="F19" s="1" t="s">
        <v>7</v>
      </c>
      <c r="G19" s="1" t="s">
        <v>8</v>
      </c>
      <c r="H19" s="1" t="s">
        <v>150</v>
      </c>
      <c r="I19" s="1">
        <v>1.742</v>
      </c>
      <c r="J19" s="1">
        <v>5.5490000000000004</v>
      </c>
      <c r="K19" s="1">
        <v>7.3040000000000003</v>
      </c>
      <c r="L19" s="1" t="s">
        <v>12</v>
      </c>
      <c r="M19" s="1">
        <f t="shared" si="5"/>
        <v>5.5620000000000003</v>
      </c>
      <c r="N19" s="1">
        <f t="shared" si="4"/>
        <v>1.7549999999999999</v>
      </c>
      <c r="O19" s="1">
        <v>0.76</v>
      </c>
      <c r="P19" s="1">
        <v>4.4729999999999999</v>
      </c>
      <c r="Q19" s="1">
        <v>14.117000000000001</v>
      </c>
      <c r="R19" s="1" t="s">
        <v>12</v>
      </c>
      <c r="S19" s="1">
        <f t="shared" si="0"/>
        <v>13.357000000000001</v>
      </c>
      <c r="T19" s="1">
        <f t="shared" si="1"/>
        <v>9.6440000000000019</v>
      </c>
      <c r="U19" s="1">
        <v>0.41399999999999998</v>
      </c>
      <c r="V19" s="1">
        <v>0</v>
      </c>
      <c r="W19" s="1">
        <v>4.1180000000000003</v>
      </c>
      <c r="X19" s="1" t="s">
        <v>9</v>
      </c>
      <c r="Y19" s="3">
        <f t="shared" si="2"/>
        <v>3.7040000000000002</v>
      </c>
      <c r="Z19" s="3">
        <f t="shared" si="3"/>
        <v>4.1180000000000003</v>
      </c>
    </row>
    <row r="20" spans="1:26" ht="15.75" customHeight="1" x14ac:dyDescent="0.2">
      <c r="A20" s="4">
        <v>45985</v>
      </c>
      <c r="B20" s="1" t="s">
        <v>30</v>
      </c>
      <c r="C20" s="1" t="s">
        <v>15</v>
      </c>
      <c r="D20" s="7">
        <v>41730</v>
      </c>
      <c r="E20" s="6">
        <v>127</v>
      </c>
      <c r="F20" s="1" t="s">
        <v>7</v>
      </c>
      <c r="G20" s="1" t="s">
        <v>8</v>
      </c>
      <c r="H20" s="1" t="s">
        <v>138</v>
      </c>
      <c r="I20" s="1">
        <v>0</v>
      </c>
      <c r="J20" s="1">
        <v>0.78900000000000003</v>
      </c>
      <c r="K20" s="1">
        <v>0.63200000000000001</v>
      </c>
      <c r="L20" s="1" t="s">
        <v>12</v>
      </c>
      <c r="M20" s="1">
        <f t="shared" si="5"/>
        <v>0.63200000000000001</v>
      </c>
      <c r="N20" s="1">
        <f t="shared" si="4"/>
        <v>-0.15700000000000003</v>
      </c>
      <c r="O20" s="1">
        <v>1.2450000000000001</v>
      </c>
      <c r="P20" s="1">
        <v>0</v>
      </c>
      <c r="Q20" s="1">
        <v>0.81699999999999995</v>
      </c>
      <c r="R20" s="1" t="s">
        <v>9</v>
      </c>
      <c r="S20" s="1">
        <f t="shared" si="0"/>
        <v>-0.42800000000000016</v>
      </c>
      <c r="T20" s="1">
        <f t="shared" si="1"/>
        <v>0.81699999999999995</v>
      </c>
      <c r="U20" s="1">
        <v>0.80100000000000005</v>
      </c>
      <c r="V20" s="1">
        <v>0.60799999999999998</v>
      </c>
      <c r="W20" s="1">
        <v>2.258</v>
      </c>
      <c r="X20" s="1" t="s">
        <v>9</v>
      </c>
      <c r="Y20" s="3">
        <f t="shared" si="2"/>
        <v>1.4569999999999999</v>
      </c>
      <c r="Z20" s="3">
        <f t="shared" si="3"/>
        <v>1.65</v>
      </c>
    </row>
    <row r="21" spans="1:26" ht="15.75" customHeight="1" x14ac:dyDescent="0.2">
      <c r="A21" s="4">
        <v>45985</v>
      </c>
      <c r="B21" s="1" t="s">
        <v>31</v>
      </c>
      <c r="C21" s="1" t="s">
        <v>15</v>
      </c>
      <c r="D21" s="7">
        <v>44136</v>
      </c>
      <c r="E21" s="6">
        <v>48</v>
      </c>
      <c r="F21" s="1" t="s">
        <v>7</v>
      </c>
      <c r="G21" s="1" t="s">
        <v>11</v>
      </c>
      <c r="H21" s="1" t="s">
        <v>137</v>
      </c>
      <c r="I21" s="1">
        <v>0</v>
      </c>
      <c r="J21" s="1">
        <v>1.9179999999999999</v>
      </c>
      <c r="K21" s="1">
        <v>1.621</v>
      </c>
      <c r="L21" s="1" t="s">
        <v>9</v>
      </c>
      <c r="M21" s="1">
        <f t="shared" si="5"/>
        <v>1.621</v>
      </c>
      <c r="N21" s="1">
        <f t="shared" si="4"/>
        <v>-0.29699999999999993</v>
      </c>
      <c r="O21" s="1">
        <v>0</v>
      </c>
      <c r="P21" s="1">
        <v>9.8309999999999995</v>
      </c>
      <c r="Q21" s="1">
        <v>0</v>
      </c>
      <c r="R21" s="1" t="s">
        <v>12</v>
      </c>
      <c r="S21" s="1">
        <f t="shared" si="0"/>
        <v>0</v>
      </c>
      <c r="T21" s="1">
        <f t="shared" si="1"/>
        <v>-9.8309999999999995</v>
      </c>
      <c r="U21" s="1">
        <v>2.6989999999999998</v>
      </c>
      <c r="V21" s="1">
        <v>7.8310000000000004</v>
      </c>
      <c r="W21" s="1">
        <v>13.85</v>
      </c>
      <c r="X21" s="1" t="s">
        <v>12</v>
      </c>
      <c r="Y21" s="3">
        <f t="shared" si="2"/>
        <v>11.151</v>
      </c>
      <c r="Z21" s="3">
        <f t="shared" si="3"/>
        <v>6.0189999999999992</v>
      </c>
    </row>
    <row r="22" spans="1:26" ht="15.75" customHeight="1" x14ac:dyDescent="0.2">
      <c r="A22" s="4">
        <v>45985</v>
      </c>
      <c r="B22" s="1" t="s">
        <v>32</v>
      </c>
      <c r="C22" s="1" t="s">
        <v>15</v>
      </c>
      <c r="D22" s="7">
        <v>41395</v>
      </c>
      <c r="E22" s="6">
        <v>138</v>
      </c>
      <c r="F22" s="1" t="s">
        <v>7</v>
      </c>
      <c r="G22" s="1" t="s">
        <v>8</v>
      </c>
      <c r="H22" s="1" t="s">
        <v>139</v>
      </c>
      <c r="I22" s="1">
        <v>1.2290000000000001</v>
      </c>
      <c r="J22" s="1">
        <v>1.234</v>
      </c>
      <c r="K22" s="1">
        <v>5.5810000000000004</v>
      </c>
      <c r="L22" s="1" t="s">
        <v>12</v>
      </c>
      <c r="M22" s="1">
        <f t="shared" si="5"/>
        <v>4.3520000000000003</v>
      </c>
      <c r="N22" s="1">
        <f t="shared" si="4"/>
        <v>4.3470000000000004</v>
      </c>
      <c r="O22" s="1">
        <v>7.1180000000000003</v>
      </c>
      <c r="P22" s="1">
        <v>3.5470000000000002</v>
      </c>
      <c r="Q22" s="1">
        <v>0</v>
      </c>
      <c r="R22" s="1" t="s">
        <v>12</v>
      </c>
      <c r="S22" s="1">
        <f t="shared" si="0"/>
        <v>-7.1180000000000003</v>
      </c>
      <c r="T22" s="1">
        <f t="shared" si="1"/>
        <v>-3.5470000000000002</v>
      </c>
      <c r="U22" s="1">
        <v>4.3959999999999999</v>
      </c>
      <c r="V22" s="1">
        <v>2.5720000000000001</v>
      </c>
      <c r="W22" s="1">
        <v>5.077</v>
      </c>
      <c r="X22" s="1" t="s">
        <v>9</v>
      </c>
      <c r="Y22" s="3">
        <f t="shared" si="2"/>
        <v>0.68100000000000005</v>
      </c>
      <c r="Z22" s="3">
        <f t="shared" si="3"/>
        <v>2.5049999999999999</v>
      </c>
    </row>
    <row r="23" spans="1:26" ht="15.75" customHeight="1" x14ac:dyDescent="0.2">
      <c r="A23" s="4">
        <v>45985</v>
      </c>
      <c r="B23" s="1" t="s">
        <v>33</v>
      </c>
      <c r="C23" s="1" t="s">
        <v>6</v>
      </c>
      <c r="D23" s="8">
        <v>43991</v>
      </c>
      <c r="E23" s="6">
        <v>52.767000000000003</v>
      </c>
      <c r="F23" s="1" t="s">
        <v>7</v>
      </c>
      <c r="G23" s="1" t="s">
        <v>8</v>
      </c>
      <c r="H23" s="1" t="s">
        <v>142</v>
      </c>
      <c r="I23" s="1">
        <v>0.64</v>
      </c>
      <c r="J23" s="1">
        <v>0.78400000000000003</v>
      </c>
      <c r="K23" s="1">
        <v>2.5659999999999998</v>
      </c>
      <c r="L23" s="1" t="s">
        <v>12</v>
      </c>
      <c r="M23" s="1">
        <f t="shared" si="5"/>
        <v>1.9259999999999997</v>
      </c>
      <c r="N23" s="1">
        <f t="shared" si="4"/>
        <v>1.7819999999999998</v>
      </c>
      <c r="O23" s="1">
        <v>1.419</v>
      </c>
      <c r="P23" s="1">
        <v>0</v>
      </c>
      <c r="Q23" s="1">
        <v>1.823</v>
      </c>
      <c r="R23" s="1" t="s">
        <v>9</v>
      </c>
      <c r="S23" s="1">
        <f t="shared" si="0"/>
        <v>0.40399999999999991</v>
      </c>
      <c r="T23" s="1">
        <f t="shared" si="1"/>
        <v>1.823</v>
      </c>
      <c r="U23" s="1">
        <v>3.266</v>
      </c>
      <c r="V23" s="1">
        <v>5.8330000000000002</v>
      </c>
      <c r="W23" s="1">
        <v>6.14</v>
      </c>
      <c r="X23" s="1" t="s">
        <v>9</v>
      </c>
      <c r="Y23" s="3">
        <f t="shared" si="2"/>
        <v>2.8739999999999997</v>
      </c>
      <c r="Z23" s="3">
        <f t="shared" si="3"/>
        <v>0.3069999999999995</v>
      </c>
    </row>
    <row r="24" spans="1:26" ht="15.75" customHeight="1" x14ac:dyDescent="0.2">
      <c r="A24" s="4">
        <v>45985</v>
      </c>
      <c r="B24" s="1" t="s">
        <v>34</v>
      </c>
      <c r="C24" s="1" t="s">
        <v>15</v>
      </c>
      <c r="D24" s="7">
        <v>41852</v>
      </c>
      <c r="E24" s="6">
        <v>123</v>
      </c>
      <c r="F24" s="1" t="s">
        <v>7</v>
      </c>
      <c r="G24" s="1" t="s">
        <v>8</v>
      </c>
      <c r="H24" s="1" t="s">
        <v>143</v>
      </c>
      <c r="I24" s="1">
        <v>3.2330000000000001</v>
      </c>
      <c r="J24" s="1">
        <v>0.47799999999999998</v>
      </c>
      <c r="K24" s="1">
        <v>8.0090000000000003</v>
      </c>
      <c r="L24" s="1" t="s">
        <v>9</v>
      </c>
      <c r="M24" s="1">
        <f t="shared" si="5"/>
        <v>4.7759999999999998</v>
      </c>
      <c r="N24" s="1">
        <f t="shared" si="4"/>
        <v>7.5310000000000006</v>
      </c>
      <c r="O24" s="1">
        <v>1.907</v>
      </c>
      <c r="P24" s="1">
        <v>6.1120000000000001</v>
      </c>
      <c r="Q24" s="1">
        <v>10.856999999999999</v>
      </c>
      <c r="R24" s="1" t="s">
        <v>12</v>
      </c>
      <c r="S24" s="1">
        <f t="shared" si="0"/>
        <v>8.9499999999999993</v>
      </c>
      <c r="T24" s="1">
        <f t="shared" si="1"/>
        <v>4.7449999999999992</v>
      </c>
      <c r="U24" s="1">
        <v>1.5269999999999999</v>
      </c>
      <c r="V24" s="1">
        <v>1.5309999999999999</v>
      </c>
      <c r="W24" s="1">
        <v>6.5609999999999999</v>
      </c>
      <c r="X24" s="1" t="s">
        <v>9</v>
      </c>
      <c r="Y24" s="3">
        <f t="shared" si="2"/>
        <v>5.0339999999999998</v>
      </c>
      <c r="Z24" s="3">
        <f t="shared" si="3"/>
        <v>5.03</v>
      </c>
    </row>
    <row r="25" spans="1:26" ht="15.75" customHeight="1" x14ac:dyDescent="0.2">
      <c r="A25" s="4">
        <v>45985</v>
      </c>
      <c r="B25" s="1" t="s">
        <v>35</v>
      </c>
      <c r="C25" s="1" t="s">
        <v>15</v>
      </c>
      <c r="D25" s="8">
        <v>43692</v>
      </c>
      <c r="E25" s="6">
        <v>62.548000000000002</v>
      </c>
      <c r="F25" s="1" t="s">
        <v>7</v>
      </c>
      <c r="G25" s="1" t="s">
        <v>8</v>
      </c>
      <c r="H25" s="1" t="s">
        <v>144</v>
      </c>
      <c r="I25" s="10" t="s">
        <v>162</v>
      </c>
      <c r="J25" s="10" t="s">
        <v>162</v>
      </c>
      <c r="K25" s="10" t="s">
        <v>162</v>
      </c>
      <c r="L25" s="10" t="s">
        <v>162</v>
      </c>
      <c r="M25" s="10" t="s">
        <v>162</v>
      </c>
      <c r="N25" s="10" t="s">
        <v>162</v>
      </c>
      <c r="O25" s="1">
        <v>0.999</v>
      </c>
      <c r="P25" s="1">
        <v>2.161</v>
      </c>
      <c r="Q25" s="1">
        <v>4.0830000000000002</v>
      </c>
      <c r="R25" s="1" t="s">
        <v>12</v>
      </c>
      <c r="S25" s="1">
        <f t="shared" si="0"/>
        <v>3.0840000000000001</v>
      </c>
      <c r="T25" s="1">
        <f t="shared" si="1"/>
        <v>1.9220000000000002</v>
      </c>
      <c r="U25" s="1">
        <v>3.0209999999999999</v>
      </c>
      <c r="V25" s="1">
        <v>0.60699999999999998</v>
      </c>
      <c r="W25" s="1">
        <v>4.6340000000000003</v>
      </c>
      <c r="X25" s="1" t="s">
        <v>9</v>
      </c>
      <c r="Y25" s="3">
        <f t="shared" si="2"/>
        <v>1.6130000000000004</v>
      </c>
      <c r="Z25" s="3">
        <f t="shared" si="3"/>
        <v>4.0270000000000001</v>
      </c>
    </row>
    <row r="26" spans="1:26" ht="15.75" customHeight="1" x14ac:dyDescent="0.2">
      <c r="A26" s="4">
        <v>45985</v>
      </c>
      <c r="B26" s="1" t="s">
        <v>36</v>
      </c>
      <c r="C26" s="1" t="s">
        <v>15</v>
      </c>
      <c r="D26" s="8">
        <v>44804</v>
      </c>
      <c r="E26" s="6">
        <v>26.032</v>
      </c>
      <c r="F26" s="1" t="s">
        <v>7</v>
      </c>
      <c r="G26" s="1" t="s">
        <v>11</v>
      </c>
      <c r="H26" s="1" t="s">
        <v>128</v>
      </c>
      <c r="I26" s="1">
        <v>1.25</v>
      </c>
      <c r="J26" s="1">
        <v>16.937999999999999</v>
      </c>
      <c r="K26" s="1">
        <v>20.145</v>
      </c>
      <c r="L26" s="1" t="s">
        <v>12</v>
      </c>
      <c r="M26" s="1">
        <f t="shared" si="5"/>
        <v>18.895</v>
      </c>
      <c r="N26" s="1">
        <f t="shared" si="4"/>
        <v>3.2070000000000007</v>
      </c>
      <c r="O26" s="1">
        <v>2.1110000000000002</v>
      </c>
      <c r="P26" s="1">
        <v>5.6420000000000003</v>
      </c>
      <c r="Q26" s="1">
        <v>1.627</v>
      </c>
      <c r="R26" s="1" t="s">
        <v>9</v>
      </c>
      <c r="S26" s="1">
        <f t="shared" si="0"/>
        <v>-0.48400000000000021</v>
      </c>
      <c r="T26" s="1">
        <f t="shared" si="1"/>
        <v>-4.0150000000000006</v>
      </c>
      <c r="U26" s="1">
        <v>3.6230000000000002</v>
      </c>
      <c r="V26" s="1">
        <v>2.532</v>
      </c>
      <c r="W26" s="1">
        <v>2.6589999999999998</v>
      </c>
      <c r="X26" s="1" t="s">
        <v>12</v>
      </c>
      <c r="Y26" s="3">
        <f t="shared" si="2"/>
        <v>-0.96400000000000041</v>
      </c>
      <c r="Z26" s="3">
        <f t="shared" si="3"/>
        <v>0.12699999999999978</v>
      </c>
    </row>
    <row r="27" spans="1:26" ht="15.75" customHeight="1" x14ac:dyDescent="0.2">
      <c r="A27" s="4">
        <v>45985</v>
      </c>
      <c r="B27" s="1" t="s">
        <v>37</v>
      </c>
      <c r="C27" s="1" t="s">
        <v>6</v>
      </c>
      <c r="D27" s="8">
        <v>43423</v>
      </c>
      <c r="E27" s="6">
        <v>71.433000000000007</v>
      </c>
      <c r="F27" s="1" t="s">
        <v>7</v>
      </c>
      <c r="G27" s="1" t="s">
        <v>11</v>
      </c>
      <c r="H27" s="6" t="s">
        <v>140</v>
      </c>
      <c r="I27" s="1">
        <v>0</v>
      </c>
      <c r="J27" s="1">
        <v>3.0659999999999998</v>
      </c>
      <c r="K27" s="1">
        <v>1.9379999999999999</v>
      </c>
      <c r="L27" s="1" t="s">
        <v>9</v>
      </c>
      <c r="M27" s="1">
        <f t="shared" si="5"/>
        <v>1.9379999999999999</v>
      </c>
      <c r="N27" s="1">
        <f t="shared" si="4"/>
        <v>-1.1279999999999999</v>
      </c>
      <c r="O27" s="1">
        <v>0</v>
      </c>
      <c r="P27" s="1">
        <v>2.4009999999999998</v>
      </c>
      <c r="Q27" s="1">
        <v>4.6050000000000004</v>
      </c>
      <c r="R27" s="1" t="s">
        <v>12</v>
      </c>
      <c r="S27" s="1">
        <f t="shared" si="0"/>
        <v>4.6050000000000004</v>
      </c>
      <c r="T27" s="1">
        <f t="shared" si="1"/>
        <v>2.2040000000000006</v>
      </c>
      <c r="U27" s="1">
        <v>0</v>
      </c>
      <c r="V27" s="1">
        <v>2.2839999999999998</v>
      </c>
      <c r="W27" s="1">
        <v>5.4569999999999999</v>
      </c>
      <c r="X27" s="1" t="s">
        <v>9</v>
      </c>
      <c r="Y27" s="3">
        <f t="shared" si="2"/>
        <v>5.4569999999999999</v>
      </c>
      <c r="Z27" s="3">
        <f t="shared" si="3"/>
        <v>3.173</v>
      </c>
    </row>
    <row r="28" spans="1:26" ht="15.75" customHeight="1" x14ac:dyDescent="0.2">
      <c r="A28" s="4">
        <v>45985</v>
      </c>
      <c r="B28" s="1" t="s">
        <v>38</v>
      </c>
      <c r="C28" s="1" t="s">
        <v>6</v>
      </c>
      <c r="D28" s="7">
        <v>43770</v>
      </c>
      <c r="E28" s="6">
        <v>60</v>
      </c>
      <c r="F28" s="1" t="s">
        <v>7</v>
      </c>
      <c r="G28" s="1" t="s">
        <v>8</v>
      </c>
      <c r="H28" s="1" t="s">
        <v>151</v>
      </c>
      <c r="I28" s="1">
        <v>3.3450000000000002</v>
      </c>
      <c r="J28" s="1">
        <v>2.61</v>
      </c>
      <c r="K28" s="1">
        <v>1.4239999999999999</v>
      </c>
      <c r="L28" s="1" t="s">
        <v>9</v>
      </c>
      <c r="M28" s="1">
        <f t="shared" si="5"/>
        <v>-1.9210000000000003</v>
      </c>
      <c r="N28" s="1">
        <f t="shared" si="4"/>
        <v>-1.1859999999999999</v>
      </c>
      <c r="O28" s="1">
        <v>2.198</v>
      </c>
      <c r="P28" s="1">
        <v>4.7389999999999999</v>
      </c>
      <c r="Q28" s="1">
        <v>1.3660000000000001</v>
      </c>
      <c r="R28" s="1" t="s">
        <v>9</v>
      </c>
      <c r="S28" s="1">
        <f t="shared" si="0"/>
        <v>-0.83199999999999985</v>
      </c>
      <c r="T28" s="1">
        <f t="shared" si="1"/>
        <v>-3.3729999999999998</v>
      </c>
      <c r="U28" s="1">
        <v>3.2890000000000001</v>
      </c>
      <c r="V28" s="1">
        <v>2.73</v>
      </c>
      <c r="W28" s="1">
        <v>5.4059999999999997</v>
      </c>
      <c r="X28" s="1" t="s">
        <v>12</v>
      </c>
      <c r="Y28" s="3">
        <f t="shared" si="2"/>
        <v>2.1169999999999995</v>
      </c>
      <c r="Z28" s="3">
        <f t="shared" si="3"/>
        <v>2.6759999999999997</v>
      </c>
    </row>
    <row r="29" spans="1:26" ht="15.75" customHeight="1" x14ac:dyDescent="0.2">
      <c r="A29" s="4">
        <v>45985</v>
      </c>
      <c r="B29" s="1" t="s">
        <v>39</v>
      </c>
      <c r="C29" s="1" t="s">
        <v>15</v>
      </c>
      <c r="D29" s="7">
        <v>44835</v>
      </c>
      <c r="E29" s="6">
        <v>25</v>
      </c>
      <c r="F29" s="1" t="s">
        <v>7</v>
      </c>
      <c r="G29" s="1" t="s">
        <v>8</v>
      </c>
      <c r="H29" s="1" t="s">
        <v>141</v>
      </c>
      <c r="I29" s="10" t="s">
        <v>162</v>
      </c>
      <c r="J29" s="10" t="s">
        <v>162</v>
      </c>
      <c r="K29" s="10" t="s">
        <v>162</v>
      </c>
      <c r="L29" s="10" t="s">
        <v>162</v>
      </c>
      <c r="M29" s="10" t="s">
        <v>162</v>
      </c>
      <c r="N29" s="10" t="s">
        <v>162</v>
      </c>
      <c r="O29" s="1">
        <v>0.46</v>
      </c>
      <c r="P29" s="1">
        <v>0</v>
      </c>
      <c r="Q29" s="1">
        <v>1.119</v>
      </c>
      <c r="R29" s="1" t="s">
        <v>9</v>
      </c>
      <c r="S29" s="1">
        <f t="shared" si="0"/>
        <v>0.65900000000000003</v>
      </c>
      <c r="T29" s="1">
        <f t="shared" si="1"/>
        <v>1.119</v>
      </c>
      <c r="U29" s="1">
        <v>0</v>
      </c>
      <c r="V29" s="1">
        <v>0.86599999999999999</v>
      </c>
      <c r="W29" s="1">
        <v>0.99199999999999999</v>
      </c>
      <c r="X29" s="1" t="s">
        <v>9</v>
      </c>
      <c r="Y29" s="3">
        <f t="shared" si="2"/>
        <v>0.99199999999999999</v>
      </c>
      <c r="Z29" s="3">
        <f t="shared" si="3"/>
        <v>0.126</v>
      </c>
    </row>
    <row r="30" spans="1:26" ht="15.75" customHeight="1" x14ac:dyDescent="0.2">
      <c r="A30" s="4">
        <v>45985</v>
      </c>
      <c r="B30" s="1" t="s">
        <v>40</v>
      </c>
      <c r="C30" s="1" t="s">
        <v>15</v>
      </c>
      <c r="D30" s="6" t="s">
        <v>117</v>
      </c>
      <c r="E30" s="6">
        <v>94</v>
      </c>
      <c r="F30" s="1" t="s">
        <v>7</v>
      </c>
      <c r="G30" s="1" t="s">
        <v>8</v>
      </c>
      <c r="H30" s="1" t="s">
        <v>145</v>
      </c>
      <c r="I30" s="1">
        <v>0</v>
      </c>
      <c r="J30" s="1">
        <v>2.5680000000000001</v>
      </c>
      <c r="K30" s="1">
        <v>3.4990000000000001</v>
      </c>
      <c r="L30" s="1" t="s">
        <v>12</v>
      </c>
      <c r="M30" s="1">
        <f t="shared" si="5"/>
        <v>3.4990000000000001</v>
      </c>
      <c r="N30" s="1">
        <f t="shared" si="4"/>
        <v>0.93100000000000005</v>
      </c>
      <c r="O30" s="1">
        <v>4.3449999999999998</v>
      </c>
      <c r="P30" s="1">
        <v>1.8420000000000001</v>
      </c>
      <c r="Q30" s="1">
        <v>2.0680000000000001</v>
      </c>
      <c r="R30" s="1" t="s">
        <v>9</v>
      </c>
      <c r="S30" s="1">
        <f t="shared" si="0"/>
        <v>-2.2769999999999997</v>
      </c>
      <c r="T30" s="1">
        <f t="shared" si="1"/>
        <v>0.22599999999999998</v>
      </c>
      <c r="U30" s="1">
        <v>0</v>
      </c>
      <c r="V30" s="1">
        <v>4.6136609999999996</v>
      </c>
      <c r="W30" s="1">
        <v>0</v>
      </c>
      <c r="X30" s="1" t="s">
        <v>9</v>
      </c>
      <c r="Y30" s="3">
        <f t="shared" si="2"/>
        <v>0</v>
      </c>
      <c r="Z30" s="3">
        <f t="shared" si="3"/>
        <v>-4.6136609999999996</v>
      </c>
    </row>
    <row r="31" spans="1:26" ht="15.75" customHeight="1" x14ac:dyDescent="0.2">
      <c r="A31" s="4">
        <v>45985</v>
      </c>
      <c r="B31" s="1" t="s">
        <v>41</v>
      </c>
      <c r="C31" s="1" t="s">
        <v>15</v>
      </c>
      <c r="D31" s="7">
        <v>45292</v>
      </c>
      <c r="E31" s="6">
        <v>10</v>
      </c>
      <c r="F31" s="1" t="s">
        <v>42</v>
      </c>
      <c r="G31" s="1" t="s">
        <v>8</v>
      </c>
      <c r="H31" s="1" t="s">
        <v>146</v>
      </c>
      <c r="I31" s="1">
        <v>0</v>
      </c>
      <c r="J31" s="1">
        <v>1.262</v>
      </c>
      <c r="K31" s="1">
        <v>1.504</v>
      </c>
      <c r="L31" s="1" t="s">
        <v>9</v>
      </c>
      <c r="M31" s="1">
        <f t="shared" si="5"/>
        <v>1.504</v>
      </c>
      <c r="N31" s="1">
        <f t="shared" si="4"/>
        <v>0.24199999999999999</v>
      </c>
      <c r="O31" s="1">
        <v>0.318</v>
      </c>
      <c r="P31" s="1">
        <v>0.307</v>
      </c>
      <c r="Q31" s="1">
        <v>1.9790000000000001</v>
      </c>
      <c r="R31" s="1" t="s">
        <v>9</v>
      </c>
      <c r="S31" s="1">
        <f t="shared" si="0"/>
        <v>1.661</v>
      </c>
      <c r="T31" s="1">
        <f t="shared" si="1"/>
        <v>1.6720000000000002</v>
      </c>
      <c r="U31" s="1">
        <v>0.20300000000000001</v>
      </c>
      <c r="V31" s="1">
        <v>16.227</v>
      </c>
      <c r="W31" s="1">
        <v>3.9129999999999998</v>
      </c>
      <c r="X31" s="1" t="s">
        <v>12</v>
      </c>
      <c r="Y31" s="3">
        <f t="shared" si="2"/>
        <v>3.71</v>
      </c>
      <c r="Z31" s="3">
        <f t="shared" si="3"/>
        <v>-12.314</v>
      </c>
    </row>
    <row r="32" spans="1:26" ht="15.75" customHeight="1" x14ac:dyDescent="0.2">
      <c r="A32" s="4">
        <v>45985</v>
      </c>
      <c r="B32" s="1" t="s">
        <v>43</v>
      </c>
      <c r="C32" s="1" t="s">
        <v>15</v>
      </c>
      <c r="D32" s="7">
        <v>43922</v>
      </c>
      <c r="E32" s="6">
        <v>55</v>
      </c>
      <c r="F32" s="1" t="s">
        <v>7</v>
      </c>
      <c r="G32" s="1" t="s">
        <v>8</v>
      </c>
      <c r="H32" s="1" t="s">
        <v>147</v>
      </c>
      <c r="I32" s="1">
        <v>1.7609999999999999</v>
      </c>
      <c r="J32" s="1">
        <v>1.766</v>
      </c>
      <c r="K32" s="1">
        <v>9.2370000000000001</v>
      </c>
      <c r="L32" s="1" t="s">
        <v>12</v>
      </c>
      <c r="M32" s="1">
        <f t="shared" si="5"/>
        <v>7.476</v>
      </c>
      <c r="N32" s="1">
        <f t="shared" si="4"/>
        <v>7.4710000000000001</v>
      </c>
      <c r="O32" s="10" t="s">
        <v>162</v>
      </c>
      <c r="P32" s="10" t="s">
        <v>162</v>
      </c>
      <c r="Q32" s="10" t="s">
        <v>162</v>
      </c>
      <c r="R32" s="10" t="s">
        <v>162</v>
      </c>
      <c r="S32" s="10" t="s">
        <v>162</v>
      </c>
      <c r="T32" s="10" t="s">
        <v>162</v>
      </c>
      <c r="U32" s="1">
        <v>4.6479999999999997</v>
      </c>
      <c r="V32" s="1">
        <v>4.3879999999999999</v>
      </c>
      <c r="W32" s="1">
        <v>3.6579999999999999</v>
      </c>
      <c r="X32" s="1" t="s">
        <v>9</v>
      </c>
      <c r="Y32" s="3">
        <f t="shared" si="2"/>
        <v>-0.98999999999999977</v>
      </c>
      <c r="Z32" s="3">
        <f t="shared" si="3"/>
        <v>-0.73</v>
      </c>
    </row>
    <row r="33" spans="1:26" ht="15.75" customHeight="1" x14ac:dyDescent="0.2">
      <c r="A33" s="5" t="s">
        <v>44</v>
      </c>
      <c r="B33" s="1" t="s">
        <v>45</v>
      </c>
      <c r="C33" s="1" t="s">
        <v>6</v>
      </c>
      <c r="D33" s="7">
        <v>42186</v>
      </c>
      <c r="E33" s="6">
        <v>116</v>
      </c>
      <c r="F33" s="1" t="s">
        <v>7</v>
      </c>
      <c r="G33" s="1" t="s">
        <v>11</v>
      </c>
      <c r="H33" s="1" t="s">
        <v>148</v>
      </c>
      <c r="I33" s="1">
        <v>6.2030000000000003</v>
      </c>
      <c r="J33" s="1">
        <v>0</v>
      </c>
      <c r="K33" s="1">
        <v>1.3839999999999999</v>
      </c>
      <c r="L33" s="1" t="s">
        <v>9</v>
      </c>
      <c r="M33" s="1">
        <f t="shared" si="5"/>
        <v>-4.8190000000000008</v>
      </c>
      <c r="N33" s="1">
        <f t="shared" si="4"/>
        <v>1.3839999999999999</v>
      </c>
      <c r="O33" s="1">
        <v>0</v>
      </c>
      <c r="P33" s="1">
        <v>1.3620000000000001</v>
      </c>
      <c r="Q33" s="1">
        <v>1.524</v>
      </c>
      <c r="R33" s="1" t="s">
        <v>12</v>
      </c>
      <c r="S33" s="1">
        <f t="shared" si="0"/>
        <v>1.524</v>
      </c>
      <c r="T33" s="1">
        <f t="shared" si="1"/>
        <v>0.16199999999999992</v>
      </c>
      <c r="U33" s="1">
        <v>2.76</v>
      </c>
      <c r="V33" s="1">
        <v>0.995</v>
      </c>
      <c r="W33" s="1">
        <v>3.4289999999999998</v>
      </c>
      <c r="X33" s="1" t="s">
        <v>9</v>
      </c>
      <c r="Y33" s="3">
        <f t="shared" si="2"/>
        <v>0.66900000000000004</v>
      </c>
      <c r="Z33" s="3">
        <f t="shared" si="3"/>
        <v>2.4339999999999997</v>
      </c>
    </row>
    <row r="34" spans="1:26" ht="15.75" customHeight="1" x14ac:dyDescent="0.2">
      <c r="A34" s="5" t="s">
        <v>44</v>
      </c>
      <c r="B34" s="1" t="s">
        <v>46</v>
      </c>
      <c r="C34" s="1" t="s">
        <v>15</v>
      </c>
      <c r="D34" s="7">
        <v>44774</v>
      </c>
      <c r="E34" s="6">
        <v>30</v>
      </c>
      <c r="F34" s="1" t="s">
        <v>7</v>
      </c>
      <c r="G34" s="1" t="s">
        <v>8</v>
      </c>
      <c r="H34" s="1" t="s">
        <v>149</v>
      </c>
      <c r="I34" s="1">
        <v>18.617000000000001</v>
      </c>
      <c r="J34" s="1">
        <v>1.385</v>
      </c>
      <c r="K34" s="1">
        <v>17.033999999999999</v>
      </c>
      <c r="L34" s="1" t="s">
        <v>9</v>
      </c>
      <c r="M34" s="1">
        <f t="shared" si="5"/>
        <v>-1.583000000000002</v>
      </c>
      <c r="N34" s="1">
        <f t="shared" si="4"/>
        <v>15.648999999999999</v>
      </c>
      <c r="O34" s="1">
        <v>18.053999999999998</v>
      </c>
      <c r="P34" s="1">
        <v>1.956</v>
      </c>
      <c r="Q34" s="1">
        <v>7.4489999999999998</v>
      </c>
      <c r="R34" s="1" t="s">
        <v>12</v>
      </c>
      <c r="S34" s="1">
        <f t="shared" si="0"/>
        <v>-10.604999999999999</v>
      </c>
      <c r="T34" s="1">
        <f t="shared" si="1"/>
        <v>5.4930000000000003</v>
      </c>
      <c r="U34" s="1">
        <v>2.5760000000000001</v>
      </c>
      <c r="V34" s="1">
        <v>2.327</v>
      </c>
      <c r="W34" s="1">
        <v>5.3140000000000001</v>
      </c>
      <c r="X34" s="1" t="s">
        <v>9</v>
      </c>
      <c r="Y34" s="3">
        <f t="shared" si="2"/>
        <v>2.738</v>
      </c>
      <c r="Z34" s="3">
        <f t="shared" si="3"/>
        <v>2.9870000000000001</v>
      </c>
    </row>
    <row r="35" spans="1:26" ht="15.75" customHeight="1" x14ac:dyDescent="0.2">
      <c r="A35" s="5" t="s">
        <v>44</v>
      </c>
      <c r="B35" s="1" t="s">
        <v>47</v>
      </c>
      <c r="C35" s="1" t="s">
        <v>15</v>
      </c>
      <c r="D35" s="8">
        <v>44002</v>
      </c>
      <c r="E35" s="6">
        <v>55.4</v>
      </c>
      <c r="F35" s="1" t="s">
        <v>42</v>
      </c>
      <c r="G35" s="1" t="s">
        <v>11</v>
      </c>
      <c r="H35" s="1" t="s">
        <v>152</v>
      </c>
      <c r="I35" s="1">
        <v>0</v>
      </c>
      <c r="J35" s="1">
        <v>1.056</v>
      </c>
      <c r="K35" s="1">
        <v>0</v>
      </c>
      <c r="L35" s="1" t="s">
        <v>12</v>
      </c>
      <c r="M35" s="1">
        <f t="shared" si="5"/>
        <v>0</v>
      </c>
      <c r="N35" s="1">
        <f t="shared" si="4"/>
        <v>-1.056</v>
      </c>
      <c r="O35" s="1">
        <v>0.93200000000000005</v>
      </c>
      <c r="P35" s="1">
        <v>1.8919999999999999</v>
      </c>
      <c r="Q35" s="1">
        <v>5.82</v>
      </c>
      <c r="R35" s="1" t="s">
        <v>9</v>
      </c>
      <c r="S35" s="1">
        <f t="shared" si="0"/>
        <v>4.8879999999999999</v>
      </c>
      <c r="T35" s="1">
        <f t="shared" si="1"/>
        <v>3.9280000000000004</v>
      </c>
      <c r="U35" s="10" t="s">
        <v>162</v>
      </c>
      <c r="V35" s="10" t="s">
        <v>162</v>
      </c>
      <c r="W35" s="10" t="s">
        <v>162</v>
      </c>
      <c r="X35" s="10" t="s">
        <v>162</v>
      </c>
      <c r="Y35" s="10" t="s">
        <v>162</v>
      </c>
      <c r="Z35" s="10" t="s">
        <v>162</v>
      </c>
    </row>
    <row r="36" spans="1:26" ht="15.75" customHeight="1" x14ac:dyDescent="0.2">
      <c r="A36" s="5" t="s">
        <v>44</v>
      </c>
      <c r="B36" s="1" t="s">
        <v>48</v>
      </c>
      <c r="C36" s="1" t="s">
        <v>6</v>
      </c>
      <c r="D36" s="7">
        <v>42248</v>
      </c>
      <c r="E36" s="6">
        <v>114</v>
      </c>
      <c r="F36" s="1" t="s">
        <v>7</v>
      </c>
      <c r="G36" s="1" t="s">
        <v>8</v>
      </c>
      <c r="H36" s="1" t="s">
        <v>156</v>
      </c>
      <c r="I36" s="1">
        <v>2.3540000000000001</v>
      </c>
      <c r="J36" s="1">
        <v>1.421</v>
      </c>
      <c r="K36" s="1">
        <v>1.5409999999999999</v>
      </c>
      <c r="L36" s="1" t="s">
        <v>9</v>
      </c>
      <c r="M36" s="1">
        <f t="shared" si="5"/>
        <v>-0.81300000000000017</v>
      </c>
      <c r="N36" s="1">
        <f t="shared" si="4"/>
        <v>0.11999999999999988</v>
      </c>
      <c r="O36" s="1">
        <v>0.79</v>
      </c>
      <c r="P36" s="1">
        <v>6.0190000000000001</v>
      </c>
      <c r="Q36" s="1">
        <v>3.6779999999999999</v>
      </c>
      <c r="R36" s="1" t="s">
        <v>9</v>
      </c>
      <c r="S36" s="1">
        <f t="shared" si="0"/>
        <v>2.8879999999999999</v>
      </c>
      <c r="T36" s="1">
        <f t="shared" si="1"/>
        <v>-2.3410000000000002</v>
      </c>
      <c r="U36" s="1">
        <v>3.6459999999999999</v>
      </c>
      <c r="V36" s="1">
        <v>4.6849999999999996</v>
      </c>
      <c r="W36" s="1">
        <v>7.8840000000000003</v>
      </c>
      <c r="X36" s="1" t="s">
        <v>9</v>
      </c>
      <c r="Y36" s="3">
        <f t="shared" si="2"/>
        <v>4.2380000000000004</v>
      </c>
      <c r="Z36" s="3">
        <f t="shared" si="3"/>
        <v>3.1990000000000007</v>
      </c>
    </row>
    <row r="37" spans="1:26" ht="15.75" customHeight="1" x14ac:dyDescent="0.2">
      <c r="A37" s="5" t="s">
        <v>44</v>
      </c>
      <c r="B37" s="1" t="s">
        <v>49</v>
      </c>
      <c r="C37" s="1" t="s">
        <v>6</v>
      </c>
      <c r="D37" s="8">
        <v>41796</v>
      </c>
      <c r="E37" s="6">
        <v>127.867</v>
      </c>
      <c r="F37" s="1" t="s">
        <v>7</v>
      </c>
      <c r="G37" s="1" t="s">
        <v>8</v>
      </c>
      <c r="H37" s="1" t="s">
        <v>157</v>
      </c>
      <c r="I37" s="1">
        <v>16.024999999999999</v>
      </c>
      <c r="J37" s="1">
        <v>1.9059999999999999</v>
      </c>
      <c r="K37" s="1">
        <v>4.0049999999999999</v>
      </c>
      <c r="L37" s="1" t="s">
        <v>9</v>
      </c>
      <c r="M37" s="1">
        <f t="shared" si="5"/>
        <v>-12.02</v>
      </c>
      <c r="N37" s="1">
        <f t="shared" si="4"/>
        <v>2.0990000000000002</v>
      </c>
      <c r="O37" s="1">
        <v>10.053000000000001</v>
      </c>
      <c r="P37" s="1">
        <v>12.956</v>
      </c>
      <c r="Q37" s="1">
        <v>0</v>
      </c>
      <c r="R37" s="1" t="s">
        <v>12</v>
      </c>
      <c r="S37" s="1">
        <f t="shared" si="0"/>
        <v>-10.053000000000001</v>
      </c>
      <c r="T37" s="1">
        <f t="shared" si="1"/>
        <v>-12.956</v>
      </c>
      <c r="U37" s="1">
        <v>20.462</v>
      </c>
      <c r="V37" s="1">
        <v>13.666</v>
      </c>
      <c r="W37" s="1">
        <v>7.0659999999999998</v>
      </c>
      <c r="X37" s="1" t="s">
        <v>12</v>
      </c>
      <c r="Y37" s="3">
        <f t="shared" si="2"/>
        <v>-13.396000000000001</v>
      </c>
      <c r="Z37" s="3">
        <f t="shared" si="3"/>
        <v>-6.6000000000000005</v>
      </c>
    </row>
    <row r="38" spans="1:26" ht="15.75" customHeight="1" x14ac:dyDescent="0.2">
      <c r="A38" s="5" t="s">
        <v>44</v>
      </c>
      <c r="B38" s="1" t="s">
        <v>50</v>
      </c>
      <c r="C38" s="1" t="s">
        <v>15</v>
      </c>
      <c r="D38" s="8">
        <v>43148</v>
      </c>
      <c r="E38" s="6">
        <v>83.536000000000001</v>
      </c>
      <c r="F38" s="1" t="s">
        <v>7</v>
      </c>
      <c r="G38" s="1" t="s">
        <v>8</v>
      </c>
      <c r="H38" s="1" t="s">
        <v>158</v>
      </c>
      <c r="I38" s="1">
        <v>0</v>
      </c>
      <c r="J38" s="1">
        <v>0.54500000000000004</v>
      </c>
      <c r="K38" s="1">
        <v>0.99399999999999999</v>
      </c>
      <c r="L38" s="1" t="s">
        <v>9</v>
      </c>
      <c r="M38" s="1">
        <f t="shared" si="5"/>
        <v>0.99399999999999999</v>
      </c>
      <c r="N38" s="1">
        <f t="shared" si="4"/>
        <v>0.44899999999999995</v>
      </c>
      <c r="O38" s="1">
        <v>2.5209999999999999</v>
      </c>
      <c r="P38" s="1">
        <v>0</v>
      </c>
      <c r="Q38" s="1">
        <v>0.505</v>
      </c>
      <c r="R38" s="1" t="s">
        <v>9</v>
      </c>
      <c r="S38" s="1">
        <f t="shared" si="0"/>
        <v>-2.016</v>
      </c>
      <c r="T38" s="1">
        <f t="shared" si="1"/>
        <v>0.505</v>
      </c>
      <c r="U38" s="1">
        <v>0</v>
      </c>
      <c r="V38" s="1">
        <v>0</v>
      </c>
      <c r="W38" s="1">
        <v>0.64400000000000002</v>
      </c>
      <c r="X38" s="1" t="s">
        <v>9</v>
      </c>
      <c r="Y38" s="3">
        <f t="shared" si="2"/>
        <v>0.64400000000000002</v>
      </c>
      <c r="Z38" s="3">
        <f t="shared" si="3"/>
        <v>0.64400000000000002</v>
      </c>
    </row>
    <row r="39" spans="1:26" ht="15.75" customHeight="1" x14ac:dyDescent="0.2">
      <c r="A39" s="5" t="s">
        <v>44</v>
      </c>
      <c r="B39" s="1" t="s">
        <v>51</v>
      </c>
      <c r="C39" s="1" t="s">
        <v>6</v>
      </c>
      <c r="D39" s="8">
        <v>45028</v>
      </c>
      <c r="E39" s="6">
        <v>21.667000000000002</v>
      </c>
      <c r="F39" s="1" t="s">
        <v>7</v>
      </c>
      <c r="G39" s="1" t="s">
        <v>11</v>
      </c>
      <c r="H39" s="1" t="s">
        <v>153</v>
      </c>
      <c r="I39" s="1">
        <v>6.258</v>
      </c>
      <c r="J39" s="1">
        <v>4.2430000000000003</v>
      </c>
      <c r="K39" s="1">
        <v>29.751999999999999</v>
      </c>
      <c r="L39" s="1" t="s">
        <v>12</v>
      </c>
      <c r="M39" s="1">
        <f t="shared" si="5"/>
        <v>23.494</v>
      </c>
      <c r="N39" s="1">
        <f t="shared" si="4"/>
        <v>25.509</v>
      </c>
      <c r="O39" s="1">
        <v>4.2809999999999997</v>
      </c>
      <c r="P39" s="1">
        <v>17.917000000000002</v>
      </c>
      <c r="Q39" s="1">
        <v>12.265000000000001</v>
      </c>
      <c r="R39" s="1" t="s">
        <v>9</v>
      </c>
      <c r="S39" s="1">
        <f t="shared" si="0"/>
        <v>7.9840000000000009</v>
      </c>
      <c r="T39" s="1">
        <f t="shared" si="1"/>
        <v>-5.652000000000001</v>
      </c>
      <c r="U39" s="1">
        <v>13.997</v>
      </c>
      <c r="V39" s="1">
        <v>7.62</v>
      </c>
      <c r="W39" s="1">
        <v>22.655000000000001</v>
      </c>
      <c r="X39" s="1" t="s">
        <v>12</v>
      </c>
      <c r="Y39" s="3">
        <f t="shared" si="2"/>
        <v>8.6580000000000013</v>
      </c>
      <c r="Z39" s="3">
        <f t="shared" si="3"/>
        <v>15.035</v>
      </c>
    </row>
    <row r="40" spans="1:26" ht="15" customHeight="1" x14ac:dyDescent="0.2">
      <c r="A40" s="5" t="s">
        <v>44</v>
      </c>
      <c r="B40" s="1" t="s">
        <v>52</v>
      </c>
      <c r="C40" s="1" t="s">
        <v>6</v>
      </c>
      <c r="D40" s="7">
        <v>44044</v>
      </c>
      <c r="E40" s="6">
        <v>55</v>
      </c>
      <c r="F40" s="1" t="s">
        <v>7</v>
      </c>
      <c r="G40" s="1" t="s">
        <v>11</v>
      </c>
      <c r="H40" s="1" t="s">
        <v>159</v>
      </c>
      <c r="I40" s="10" t="s">
        <v>162</v>
      </c>
      <c r="J40" s="10" t="s">
        <v>162</v>
      </c>
      <c r="K40" s="10" t="s">
        <v>162</v>
      </c>
      <c r="L40" s="10" t="s">
        <v>162</v>
      </c>
      <c r="M40" s="10" t="s">
        <v>162</v>
      </c>
      <c r="N40" s="10" t="s">
        <v>162</v>
      </c>
      <c r="O40" s="10" t="s">
        <v>162</v>
      </c>
      <c r="P40" s="10" t="s">
        <v>162</v>
      </c>
      <c r="Q40" s="10" t="s">
        <v>162</v>
      </c>
      <c r="R40" s="10" t="s">
        <v>162</v>
      </c>
      <c r="S40" s="10" t="s">
        <v>162</v>
      </c>
      <c r="T40" s="10" t="s">
        <v>162</v>
      </c>
      <c r="U40" s="1">
        <v>0</v>
      </c>
      <c r="V40" s="1">
        <v>2.7890000000000001</v>
      </c>
      <c r="W40" s="1">
        <v>0</v>
      </c>
      <c r="X40" s="1" t="s">
        <v>9</v>
      </c>
      <c r="Y40" s="3">
        <f t="shared" si="2"/>
        <v>0</v>
      </c>
      <c r="Z40" s="3">
        <f t="shared" si="3"/>
        <v>-2.7890000000000001</v>
      </c>
    </row>
    <row r="41" spans="1:26" ht="15.75" customHeight="1" x14ac:dyDescent="0.2">
      <c r="A41" s="5" t="s">
        <v>44</v>
      </c>
      <c r="B41" s="1" t="s">
        <v>53</v>
      </c>
      <c r="C41" s="1" t="s">
        <v>15</v>
      </c>
      <c r="D41" s="7">
        <v>43862</v>
      </c>
      <c r="E41" s="6">
        <v>61</v>
      </c>
      <c r="F41" s="1" t="s">
        <v>7</v>
      </c>
      <c r="G41" s="1" t="s">
        <v>8</v>
      </c>
      <c r="H41" s="1" t="s">
        <v>160</v>
      </c>
      <c r="I41" s="1">
        <v>3.589</v>
      </c>
      <c r="J41" s="1">
        <v>0.66</v>
      </c>
      <c r="K41" s="1">
        <v>1.3939999999999999</v>
      </c>
      <c r="L41" s="1" t="s">
        <v>9</v>
      </c>
      <c r="M41" s="1">
        <f t="shared" si="5"/>
        <v>-2.1950000000000003</v>
      </c>
      <c r="N41" s="1">
        <f t="shared" si="4"/>
        <v>0.73399999999999987</v>
      </c>
      <c r="O41" s="1">
        <v>1.0389999999999999</v>
      </c>
      <c r="P41" s="1">
        <v>0</v>
      </c>
      <c r="Q41" s="1">
        <v>2.0299999999999998</v>
      </c>
      <c r="R41" s="1" t="s">
        <v>9</v>
      </c>
      <c r="S41" s="1">
        <f t="shared" si="0"/>
        <v>0.99099999999999988</v>
      </c>
      <c r="T41" s="1">
        <f t="shared" si="1"/>
        <v>2.0299999999999998</v>
      </c>
      <c r="U41" s="1">
        <v>1.0189999999999999</v>
      </c>
      <c r="V41" s="1">
        <v>1.9550000000000001</v>
      </c>
      <c r="W41" s="1">
        <v>6.6379999999999999</v>
      </c>
      <c r="X41" s="1" t="s">
        <v>9</v>
      </c>
      <c r="Y41" s="3">
        <f t="shared" si="2"/>
        <v>5.6189999999999998</v>
      </c>
      <c r="Z41" s="3">
        <f t="shared" si="3"/>
        <v>4.6829999999999998</v>
      </c>
    </row>
    <row r="42" spans="1:26" ht="15.75" customHeight="1" x14ac:dyDescent="0.2">
      <c r="A42" s="5" t="s">
        <v>44</v>
      </c>
      <c r="B42" s="1" t="s">
        <v>54</v>
      </c>
      <c r="C42" s="1" t="s">
        <v>15</v>
      </c>
      <c r="D42" s="7">
        <v>44986</v>
      </c>
      <c r="E42" s="6">
        <v>23</v>
      </c>
      <c r="F42" s="1" t="s">
        <v>7</v>
      </c>
      <c r="G42" s="1" t="s">
        <v>11</v>
      </c>
      <c r="H42" s="1" t="s">
        <v>154</v>
      </c>
      <c r="I42" s="1">
        <v>0</v>
      </c>
      <c r="J42" s="1">
        <v>15.000999999999999</v>
      </c>
      <c r="K42" s="1">
        <v>13.973000000000001</v>
      </c>
      <c r="L42" s="1" t="s">
        <v>9</v>
      </c>
      <c r="M42" s="1">
        <f t="shared" si="5"/>
        <v>13.973000000000001</v>
      </c>
      <c r="N42" s="1">
        <f t="shared" si="4"/>
        <v>-1.0279999999999987</v>
      </c>
      <c r="O42" s="1">
        <v>4.41</v>
      </c>
      <c r="P42" s="1">
        <v>5.92</v>
      </c>
      <c r="Q42" s="1">
        <v>4.3390000000000004</v>
      </c>
      <c r="R42" s="1" t="s">
        <v>9</v>
      </c>
      <c r="S42" s="1">
        <f t="shared" si="0"/>
        <v>-7.099999999999973E-2</v>
      </c>
      <c r="T42" s="1">
        <f t="shared" si="1"/>
        <v>-1.5809999999999995</v>
      </c>
      <c r="U42" s="1">
        <v>2.6680000000000001</v>
      </c>
      <c r="V42" s="1">
        <v>3.044</v>
      </c>
      <c r="W42" s="1">
        <v>17.59</v>
      </c>
      <c r="X42" s="1" t="s">
        <v>12</v>
      </c>
      <c r="Y42" s="3">
        <f t="shared" si="2"/>
        <v>14.922000000000001</v>
      </c>
      <c r="Z42" s="3">
        <f t="shared" si="3"/>
        <v>14.545999999999999</v>
      </c>
    </row>
    <row r="43" spans="1:26" ht="15.75" customHeight="1" x14ac:dyDescent="0.2">
      <c r="A43" s="5" t="s">
        <v>44</v>
      </c>
      <c r="B43" s="1" t="s">
        <v>55</v>
      </c>
      <c r="C43" s="1" t="s">
        <v>15</v>
      </c>
      <c r="D43" s="6" t="s">
        <v>118</v>
      </c>
      <c r="E43" s="6">
        <v>73</v>
      </c>
      <c r="F43" s="1" t="s">
        <v>7</v>
      </c>
      <c r="G43" s="1" t="s">
        <v>11</v>
      </c>
      <c r="H43" s="1" t="s">
        <v>161</v>
      </c>
      <c r="I43" s="1">
        <v>2.7639999999999998</v>
      </c>
      <c r="J43" s="1">
        <v>6.6660000000000004</v>
      </c>
      <c r="K43" s="1">
        <v>10.111000000000001</v>
      </c>
      <c r="L43" s="1" t="s">
        <v>9</v>
      </c>
      <c r="M43" s="1">
        <f t="shared" si="5"/>
        <v>7.3470000000000013</v>
      </c>
      <c r="N43" s="1">
        <f t="shared" si="4"/>
        <v>3.4450000000000003</v>
      </c>
      <c r="O43" s="1">
        <v>3.9249999999999998</v>
      </c>
      <c r="P43" s="1">
        <v>2.375</v>
      </c>
      <c r="Q43" s="1">
        <v>0.77700000000000002</v>
      </c>
      <c r="R43" s="1" t="s">
        <v>9</v>
      </c>
      <c r="S43" s="1">
        <f t="shared" si="0"/>
        <v>-3.1479999999999997</v>
      </c>
      <c r="T43" s="1">
        <f t="shared" si="1"/>
        <v>-1.5979999999999999</v>
      </c>
      <c r="U43" s="1">
        <v>0</v>
      </c>
      <c r="V43" s="1">
        <v>8.8789999999999996</v>
      </c>
      <c r="W43" s="1">
        <v>2.6949999999999998</v>
      </c>
      <c r="X43" s="1" t="s">
        <v>12</v>
      </c>
      <c r="Y43" s="3">
        <f t="shared" si="2"/>
        <v>2.6949999999999998</v>
      </c>
      <c r="Z43" s="3">
        <f t="shared" si="3"/>
        <v>-6.1839999999999993</v>
      </c>
    </row>
    <row r="44" spans="1:26" ht="15.75" customHeight="1" x14ac:dyDescent="0.2">
      <c r="A44" s="5" t="s">
        <v>44</v>
      </c>
      <c r="B44" s="1" t="s">
        <v>56</v>
      </c>
      <c r="C44" s="1" t="s">
        <v>6</v>
      </c>
      <c r="D44" s="7">
        <v>44440</v>
      </c>
      <c r="E44" s="6">
        <v>41</v>
      </c>
      <c r="F44" s="1" t="s">
        <v>7</v>
      </c>
      <c r="G44" s="1" t="s">
        <v>11</v>
      </c>
      <c r="H44" s="1" t="s">
        <v>155</v>
      </c>
      <c r="I44" s="1">
        <v>0</v>
      </c>
      <c r="J44" s="1">
        <v>0.69599999999999995</v>
      </c>
      <c r="K44" s="1">
        <v>1.2549999999999999</v>
      </c>
      <c r="L44" s="1" t="s">
        <v>9</v>
      </c>
      <c r="M44" s="1">
        <f t="shared" si="5"/>
        <v>1.2549999999999999</v>
      </c>
      <c r="N44" s="1">
        <f t="shared" si="4"/>
        <v>0.55899999999999994</v>
      </c>
      <c r="O44" s="1">
        <v>6.149</v>
      </c>
      <c r="P44" s="1">
        <v>2.7730000000000001</v>
      </c>
      <c r="Q44" s="1">
        <v>3.6160000000000001</v>
      </c>
      <c r="R44" s="1" t="s">
        <v>9</v>
      </c>
      <c r="S44" s="1">
        <f t="shared" si="0"/>
        <v>-2.5329999999999999</v>
      </c>
      <c r="T44" s="1">
        <f t="shared" si="1"/>
        <v>0.84299999999999997</v>
      </c>
      <c r="U44" s="1">
        <v>0</v>
      </c>
      <c r="V44" s="1">
        <v>1.2769999999999999</v>
      </c>
      <c r="W44" s="1">
        <v>0.57899999999999996</v>
      </c>
      <c r="X44" s="1" t="s">
        <v>12</v>
      </c>
      <c r="Y44" s="3">
        <f t="shared" si="2"/>
        <v>0.57899999999999996</v>
      </c>
      <c r="Z44" s="3">
        <f t="shared" si="3"/>
        <v>-0.69799999999999995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25"/>
  <sheetViews>
    <sheetView workbookViewId="0"/>
  </sheetViews>
  <sheetFormatPr baseColWidth="10" defaultColWidth="12.6640625" defaultRowHeight="15.75" customHeight="1" x14ac:dyDescent="0.2"/>
  <cols>
    <col min="1" max="16384" width="12.6640625" style="6"/>
  </cols>
  <sheetData>
    <row r="1" spans="1:5" ht="15.75" customHeight="1" x14ac:dyDescent="0.2">
      <c r="A1" s="9" t="s">
        <v>75</v>
      </c>
      <c r="B1" s="9" t="s">
        <v>76</v>
      </c>
      <c r="C1" s="9" t="s">
        <v>77</v>
      </c>
      <c r="D1" s="9" t="s">
        <v>78</v>
      </c>
      <c r="E1" s="9" t="s">
        <v>79</v>
      </c>
    </row>
    <row r="2" spans="1:5" ht="15.75" customHeight="1" x14ac:dyDescent="0.2">
      <c r="A2" s="3">
        <v>5.2229999999999999</v>
      </c>
      <c r="B2" s="3">
        <v>0.70499999999999996</v>
      </c>
      <c r="C2" s="3">
        <v>1.512</v>
      </c>
      <c r="D2" s="1">
        <v>0.36799999999999999</v>
      </c>
      <c r="E2" s="1">
        <v>0.83299999999999996</v>
      </c>
    </row>
    <row r="3" spans="1:5" ht="15.75" customHeight="1" x14ac:dyDescent="0.2">
      <c r="A3" s="3">
        <v>4.5309999999999997</v>
      </c>
      <c r="B3" s="3">
        <v>3.7610000000000001</v>
      </c>
      <c r="C3" s="3">
        <v>2.97</v>
      </c>
      <c r="D3" s="1">
        <v>2.8039999999999998</v>
      </c>
      <c r="E3" s="1">
        <v>1.405</v>
      </c>
    </row>
    <row r="4" spans="1:5" ht="15.75" customHeight="1" x14ac:dyDescent="0.2">
      <c r="A4" s="3">
        <v>9.343</v>
      </c>
      <c r="B4" s="3">
        <v>6.5519999999999996</v>
      </c>
      <c r="C4" s="3">
        <v>3.0150000000000001</v>
      </c>
      <c r="D4" s="1">
        <v>1.081</v>
      </c>
      <c r="E4" s="1">
        <v>0.26</v>
      </c>
    </row>
    <row r="5" spans="1:5" ht="15.75" customHeight="1" x14ac:dyDescent="0.2">
      <c r="A5" s="3">
        <v>7.7549999999999999</v>
      </c>
      <c r="B5" s="3">
        <v>3.3279999999999998</v>
      </c>
      <c r="C5" s="3">
        <v>1.929</v>
      </c>
      <c r="D5" s="1">
        <v>9.9719999999999995</v>
      </c>
      <c r="E5" s="1">
        <v>4.2460000000000004</v>
      </c>
    </row>
    <row r="6" spans="1:5" ht="15.75" customHeight="1" x14ac:dyDescent="0.2">
      <c r="A6" s="1">
        <v>2.5110000000000001</v>
      </c>
      <c r="B6" s="1">
        <v>1.641</v>
      </c>
      <c r="C6" s="1">
        <v>1.577</v>
      </c>
      <c r="D6" s="1">
        <v>0</v>
      </c>
      <c r="E6" s="1">
        <v>0.76900000000000002</v>
      </c>
    </row>
    <row r="7" spans="1:5" ht="15.75" customHeight="1" x14ac:dyDescent="0.2">
      <c r="A7" s="1">
        <v>3.4860000000000002</v>
      </c>
      <c r="B7" s="1">
        <v>4.25</v>
      </c>
      <c r="C7" s="1">
        <v>2.3250000000000002</v>
      </c>
      <c r="D7" s="1">
        <v>1.577</v>
      </c>
      <c r="E7" s="1">
        <v>4.6210000000000004</v>
      </c>
    </row>
    <row r="8" spans="1:5" ht="15.75" customHeight="1" x14ac:dyDescent="0.2">
      <c r="A8" s="3">
        <v>2.0209999999999999</v>
      </c>
      <c r="B8" s="3">
        <v>2.3260000000000001</v>
      </c>
      <c r="C8" s="3">
        <v>1.06</v>
      </c>
      <c r="D8" s="1">
        <v>1.3009999999999999</v>
      </c>
      <c r="E8" s="1">
        <v>1.292</v>
      </c>
    </row>
    <row r="9" spans="1:5" ht="15.75" customHeight="1" x14ac:dyDescent="0.2">
      <c r="A9" s="3">
        <v>6.6980000000000004</v>
      </c>
      <c r="B9" s="3">
        <v>0</v>
      </c>
      <c r="C9" s="3">
        <v>0</v>
      </c>
      <c r="D9" s="1">
        <v>4.8869999999999996</v>
      </c>
      <c r="E9" s="1">
        <v>0</v>
      </c>
    </row>
    <row r="10" spans="1:5" ht="15.75" customHeight="1" x14ac:dyDescent="0.2">
      <c r="A10" s="1">
        <v>7.7290000000000001</v>
      </c>
      <c r="B10" s="1">
        <v>18.015999999999998</v>
      </c>
      <c r="C10" s="1">
        <v>4.4359999999999999</v>
      </c>
      <c r="D10" s="1">
        <v>1.405</v>
      </c>
      <c r="E10" s="1">
        <v>7.9649999999999999</v>
      </c>
    </row>
    <row r="11" spans="1:5" ht="15.75" customHeight="1" x14ac:dyDescent="0.2">
      <c r="A11" s="1">
        <v>17.158000000000001</v>
      </c>
      <c r="B11" s="1">
        <v>14.595000000000001</v>
      </c>
      <c r="C11" s="1">
        <v>4.2350000000000003</v>
      </c>
      <c r="D11" s="1">
        <v>3.0089999999999999</v>
      </c>
      <c r="E11" s="1">
        <v>12.082000000000001</v>
      </c>
    </row>
    <row r="12" spans="1:5" ht="15.75" customHeight="1" x14ac:dyDescent="0.2">
      <c r="A12" s="1">
        <v>22.231999999999999</v>
      </c>
      <c r="B12" s="1">
        <v>13.662000000000001</v>
      </c>
      <c r="C12" s="1">
        <v>4.0540000000000003</v>
      </c>
      <c r="D12" s="1">
        <v>0.90800000000000003</v>
      </c>
      <c r="E12" s="1">
        <v>11.475</v>
      </c>
    </row>
    <row r="13" spans="1:5" ht="15.75" customHeight="1" x14ac:dyDescent="0.2">
      <c r="A13" s="1">
        <v>7.407</v>
      </c>
      <c r="B13" s="1">
        <v>5.3559999999999999</v>
      </c>
      <c r="C13" s="1">
        <v>1.6830000000000001</v>
      </c>
      <c r="D13" s="1">
        <v>2.8769999999999998</v>
      </c>
      <c r="E13" s="1">
        <v>4.2610000000000001</v>
      </c>
    </row>
    <row r="14" spans="1:5" ht="15.75" customHeight="1" x14ac:dyDescent="0.2">
      <c r="A14" s="1">
        <v>15.71</v>
      </c>
      <c r="B14" s="1">
        <v>4.3959999999999999</v>
      </c>
      <c r="C14" s="1">
        <v>2.008</v>
      </c>
      <c r="D14" s="1">
        <v>1.673</v>
      </c>
      <c r="E14" s="1">
        <v>3.2290000000000001</v>
      </c>
    </row>
    <row r="15" spans="1:5" ht="15.75" customHeight="1" x14ac:dyDescent="0.2">
      <c r="A15" s="1">
        <v>2.3410000000000002</v>
      </c>
      <c r="B15" s="1">
        <v>0.86899999999999999</v>
      </c>
      <c r="C15" s="1">
        <v>0.77700000000000002</v>
      </c>
      <c r="D15" s="1">
        <v>5.1130000000000004</v>
      </c>
      <c r="E15" s="1">
        <v>4.2450000000000001</v>
      </c>
    </row>
    <row r="16" spans="1:5" ht="15.75" customHeight="1" x14ac:dyDescent="0.2">
      <c r="A16" s="3">
        <v>6.8479999999999999</v>
      </c>
      <c r="B16" s="3">
        <v>0</v>
      </c>
      <c r="C16" s="3">
        <v>0</v>
      </c>
      <c r="D16" s="1">
        <v>2.4910000000000001</v>
      </c>
      <c r="E16" s="1">
        <v>1.2450000000000001</v>
      </c>
    </row>
    <row r="17" spans="1:5" ht="15.75" customHeight="1" x14ac:dyDescent="0.2">
      <c r="A17" s="1">
        <v>5.391</v>
      </c>
      <c r="B17" s="1">
        <v>4.1050000000000004</v>
      </c>
      <c r="C17" s="1">
        <v>2.4239999999999999</v>
      </c>
      <c r="D17" s="1">
        <v>5.1890000000000001</v>
      </c>
      <c r="E17" s="1">
        <v>5.6180000000000003</v>
      </c>
    </row>
    <row r="18" spans="1:5" ht="15.75" customHeight="1" x14ac:dyDescent="0.2">
      <c r="A18" s="3">
        <v>1.9970000000000001</v>
      </c>
      <c r="B18" s="3">
        <v>2.4529999999999998</v>
      </c>
      <c r="C18" s="3">
        <v>4.2779999999999996</v>
      </c>
      <c r="D18" s="1">
        <v>7.3819999999999997</v>
      </c>
      <c r="E18" s="1">
        <v>6.5590000000000002</v>
      </c>
    </row>
    <row r="19" spans="1:5" ht="15.75" customHeight="1" x14ac:dyDescent="0.2">
      <c r="A19" s="1">
        <v>2.3319999999999999</v>
      </c>
      <c r="B19" s="1">
        <v>1.2769999999999999</v>
      </c>
      <c r="C19" s="1">
        <v>0.41399999999999998</v>
      </c>
      <c r="D19" s="1">
        <v>5.5490000000000004</v>
      </c>
      <c r="E19" s="1">
        <v>7.3040000000000003</v>
      </c>
    </row>
    <row r="20" spans="1:5" ht="15.75" customHeight="1" x14ac:dyDescent="0.2">
      <c r="A20" s="1">
        <v>2.4489999999999998</v>
      </c>
      <c r="B20" s="1">
        <v>1.0840000000000001</v>
      </c>
      <c r="C20" s="1">
        <v>0.80100000000000005</v>
      </c>
      <c r="D20" s="1">
        <v>0.78900000000000003</v>
      </c>
      <c r="E20" s="1">
        <v>0.63200000000000001</v>
      </c>
    </row>
    <row r="21" spans="1:5" ht="15.75" customHeight="1" x14ac:dyDescent="0.2">
      <c r="A21" s="3">
        <v>11.978</v>
      </c>
      <c r="B21" s="3">
        <v>0</v>
      </c>
      <c r="C21" s="3">
        <v>0</v>
      </c>
      <c r="D21" s="1">
        <v>1.9179999999999999</v>
      </c>
      <c r="E21" s="1">
        <v>1.621</v>
      </c>
    </row>
    <row r="22" spans="1:5" ht="15.75" customHeight="1" x14ac:dyDescent="0.2">
      <c r="A22" s="1">
        <v>10.340999999999999</v>
      </c>
      <c r="B22" s="1">
        <v>4.298</v>
      </c>
      <c r="C22" s="1">
        <v>4.3959999999999999</v>
      </c>
      <c r="D22" s="1">
        <v>1.234</v>
      </c>
      <c r="E22" s="1">
        <v>5.5810000000000004</v>
      </c>
    </row>
    <row r="23" spans="1:5" ht="15.75" customHeight="1" x14ac:dyDescent="0.2">
      <c r="A23" s="3">
        <v>4.0389999999999997</v>
      </c>
      <c r="B23" s="3">
        <v>4.3099999999999996</v>
      </c>
      <c r="C23" s="3">
        <v>1.419</v>
      </c>
      <c r="D23" s="1">
        <v>0.78400000000000003</v>
      </c>
      <c r="E23" s="1">
        <v>2.5659999999999998</v>
      </c>
    </row>
    <row r="24" spans="1:5" ht="15.75" customHeight="1" x14ac:dyDescent="0.2">
      <c r="A24" s="3">
        <v>8.5129999999999999</v>
      </c>
      <c r="B24" s="3">
        <v>3.786</v>
      </c>
      <c r="C24" s="3">
        <v>1.907</v>
      </c>
      <c r="D24" s="1">
        <v>0.47799999999999998</v>
      </c>
      <c r="E24" s="1">
        <v>8.0090000000000003</v>
      </c>
    </row>
    <row r="25" spans="1:5" ht="15.75" customHeight="1" x14ac:dyDescent="0.2">
      <c r="A25" s="3">
        <v>1.851</v>
      </c>
      <c r="B25" s="3">
        <v>0</v>
      </c>
      <c r="C25" s="3">
        <v>0.999</v>
      </c>
      <c r="D25" s="1">
        <v>16.937999999999999</v>
      </c>
      <c r="E25" s="1">
        <v>20.145</v>
      </c>
    </row>
    <row r="26" spans="1:5" ht="15.75" customHeight="1" x14ac:dyDescent="0.2">
      <c r="A26" s="3">
        <v>2.0990000000000002</v>
      </c>
      <c r="B26" s="3">
        <v>4.7240000000000002</v>
      </c>
      <c r="C26" s="3">
        <v>2.1110000000000002</v>
      </c>
      <c r="D26" s="1">
        <v>3.0659999999999998</v>
      </c>
      <c r="E26" s="1">
        <v>1.9379999999999999</v>
      </c>
    </row>
    <row r="27" spans="1:5" ht="15.75" customHeight="1" x14ac:dyDescent="0.2">
      <c r="A27" s="1">
        <v>4.1050000000000004</v>
      </c>
      <c r="B27" s="1">
        <v>3.6480000000000001</v>
      </c>
      <c r="C27" s="1">
        <v>0</v>
      </c>
      <c r="D27" s="1">
        <v>2.61</v>
      </c>
      <c r="E27" s="1">
        <v>1.4239999999999999</v>
      </c>
    </row>
    <row r="28" spans="1:5" ht="15.75" customHeight="1" x14ac:dyDescent="0.2">
      <c r="A28" s="3">
        <v>6.5949999999999998</v>
      </c>
      <c r="B28" s="3">
        <v>4.6980000000000004</v>
      </c>
      <c r="C28" s="3">
        <v>2.198</v>
      </c>
      <c r="D28" s="1">
        <v>2.5680000000000001</v>
      </c>
      <c r="E28" s="1">
        <v>3.4990000000000001</v>
      </c>
    </row>
    <row r="29" spans="1:5" ht="15.75" customHeight="1" x14ac:dyDescent="0.2">
      <c r="A29" s="1">
        <v>3.891</v>
      </c>
      <c r="B29" s="1">
        <v>0</v>
      </c>
      <c r="C29" s="1">
        <v>0</v>
      </c>
      <c r="D29" s="1">
        <v>1.262</v>
      </c>
      <c r="E29" s="1">
        <v>1.504</v>
      </c>
    </row>
    <row r="30" spans="1:5" ht="15.75" customHeight="1" x14ac:dyDescent="0.2">
      <c r="A30" s="3">
        <v>16.056999999999999</v>
      </c>
      <c r="B30" s="3">
        <v>2.09</v>
      </c>
      <c r="C30" s="3">
        <v>4.3449999999999998</v>
      </c>
      <c r="D30" s="1">
        <v>1.766</v>
      </c>
      <c r="E30" s="1">
        <v>9.2370000000000001</v>
      </c>
    </row>
    <row r="31" spans="1:5" ht="15.75" customHeight="1" x14ac:dyDescent="0.2">
      <c r="A31" s="3">
        <v>15.544</v>
      </c>
      <c r="B31" s="3">
        <v>3.3889999999999998</v>
      </c>
      <c r="C31" s="3">
        <v>0.318</v>
      </c>
      <c r="D31" s="1">
        <v>0</v>
      </c>
      <c r="E31" s="1">
        <v>1.3839999999999999</v>
      </c>
    </row>
    <row r="32" spans="1:5" ht="15.75" customHeight="1" x14ac:dyDescent="0.2">
      <c r="A32" s="1">
        <v>7.431</v>
      </c>
      <c r="B32" s="1">
        <v>5.8209999999999997</v>
      </c>
      <c r="C32" s="1">
        <v>2.76</v>
      </c>
      <c r="D32" s="1">
        <v>1.385</v>
      </c>
      <c r="E32" s="1">
        <v>17.033999999999999</v>
      </c>
    </row>
    <row r="33" spans="1:5" ht="15.75" customHeight="1" x14ac:dyDescent="0.2">
      <c r="A33" s="1">
        <v>15.228</v>
      </c>
      <c r="B33" s="1">
        <v>2.66</v>
      </c>
      <c r="C33" s="1">
        <v>2.5760000000000001</v>
      </c>
      <c r="D33" s="1">
        <v>1.056</v>
      </c>
      <c r="E33" s="1">
        <v>0</v>
      </c>
    </row>
    <row r="34" spans="1:5" ht="15.75" customHeight="1" x14ac:dyDescent="0.2">
      <c r="A34" s="3">
        <v>6.2210000000000001</v>
      </c>
      <c r="B34" s="3">
        <v>1.4710000000000001</v>
      </c>
      <c r="C34" s="3">
        <v>0.93200000000000005</v>
      </c>
      <c r="D34" s="1">
        <v>1.421</v>
      </c>
      <c r="E34" s="1">
        <v>1.5409999999999999</v>
      </c>
    </row>
    <row r="35" spans="1:5" ht="15.75" customHeight="1" x14ac:dyDescent="0.2">
      <c r="A35" s="1">
        <v>14.215999999999999</v>
      </c>
      <c r="B35" s="1">
        <v>3.839</v>
      </c>
      <c r="C35" s="1">
        <v>3.6459999999999999</v>
      </c>
      <c r="D35" s="1">
        <v>1.9059999999999999</v>
      </c>
      <c r="E35" s="1">
        <v>4.0049999999999999</v>
      </c>
    </row>
    <row r="36" spans="1:5" ht="15.75" customHeight="1" x14ac:dyDescent="0.2">
      <c r="A36" s="3">
        <v>10.821</v>
      </c>
      <c r="B36" s="3">
        <v>12.845000000000001</v>
      </c>
      <c r="C36" s="3">
        <v>10.053000000000001</v>
      </c>
      <c r="D36" s="1">
        <v>0.54500000000000004</v>
      </c>
      <c r="E36" s="1">
        <v>0.99399999999999999</v>
      </c>
    </row>
    <row r="37" spans="1:5" ht="15.75" customHeight="1" x14ac:dyDescent="0.2">
      <c r="A37" s="1">
        <v>0.193</v>
      </c>
      <c r="B37" s="1">
        <v>0</v>
      </c>
      <c r="C37" s="1">
        <v>0</v>
      </c>
      <c r="D37" s="1">
        <v>4.2430000000000003</v>
      </c>
      <c r="E37" s="1">
        <v>29.751999999999999</v>
      </c>
    </row>
    <row r="38" spans="1:5" ht="15.75" customHeight="1" x14ac:dyDescent="0.2">
      <c r="A38" s="3">
        <v>10.132</v>
      </c>
      <c r="B38" s="3">
        <v>1.577</v>
      </c>
      <c r="C38" s="3">
        <v>4.2809999999999997</v>
      </c>
      <c r="D38" s="3">
        <v>0.66</v>
      </c>
      <c r="E38" s="1">
        <v>1.3939999999999999</v>
      </c>
    </row>
    <row r="39" spans="1:5" ht="15.75" customHeight="1" x14ac:dyDescent="0.2">
      <c r="A39" s="3">
        <v>3.927</v>
      </c>
      <c r="B39" s="3">
        <v>1.415</v>
      </c>
      <c r="C39" s="3">
        <v>1.0389999999999999</v>
      </c>
      <c r="D39" s="3">
        <v>15.000999999999999</v>
      </c>
      <c r="E39" s="1">
        <v>13.973000000000001</v>
      </c>
    </row>
    <row r="40" spans="1:5" ht="15.75" customHeight="1" x14ac:dyDescent="0.2">
      <c r="A40" s="1">
        <v>8.9</v>
      </c>
      <c r="B40" s="1">
        <v>2.5569999999999999</v>
      </c>
      <c r="C40" s="1">
        <v>2.6680000000000001</v>
      </c>
      <c r="D40" s="3">
        <v>6.6660000000000004</v>
      </c>
      <c r="E40" s="1">
        <v>10.111000000000001</v>
      </c>
    </row>
    <row r="41" spans="1:5" ht="15.75" customHeight="1" x14ac:dyDescent="0.2">
      <c r="A41" s="3">
        <v>6.8369999999999997</v>
      </c>
      <c r="B41" s="3">
        <v>3.03</v>
      </c>
      <c r="C41" s="3">
        <v>3.9249999999999998</v>
      </c>
      <c r="D41" s="3">
        <v>0.69599999999999995</v>
      </c>
      <c r="E41" s="1">
        <v>1.2549999999999999</v>
      </c>
    </row>
    <row r="42" spans="1:5" ht="15.75" customHeight="1" x14ac:dyDescent="0.2">
      <c r="A42" s="1">
        <v>6.9290000000000003</v>
      </c>
      <c r="B42" s="1">
        <v>5.1420000000000003</v>
      </c>
      <c r="C42" s="1">
        <v>0</v>
      </c>
      <c r="D42" s="1">
        <v>0.68500000000000005</v>
      </c>
      <c r="E42" s="1">
        <v>1.29</v>
      </c>
    </row>
    <row r="43" spans="1:5" ht="15.75" customHeight="1" x14ac:dyDescent="0.2">
      <c r="A43" s="1">
        <v>3.653</v>
      </c>
      <c r="B43" s="1">
        <v>0.80900000000000005</v>
      </c>
      <c r="C43" s="1">
        <v>0</v>
      </c>
      <c r="D43" s="1">
        <v>3.2469999999999999</v>
      </c>
      <c r="E43" s="1">
        <v>2.7189999999999999</v>
      </c>
    </row>
    <row r="44" spans="1:5" ht="15.75" customHeight="1" x14ac:dyDescent="0.2">
      <c r="A44" s="1">
        <v>12.382</v>
      </c>
      <c r="B44" s="1">
        <v>5.9450000000000003</v>
      </c>
      <c r="C44" s="1">
        <v>4.0410000000000004</v>
      </c>
      <c r="D44" s="1">
        <v>1.2230000000000001</v>
      </c>
      <c r="E44" s="1">
        <v>3.6859999999999999</v>
      </c>
    </row>
    <row r="45" spans="1:5" ht="15.75" customHeight="1" x14ac:dyDescent="0.2">
      <c r="A45" s="1">
        <v>13.013999999999999</v>
      </c>
      <c r="B45" s="1">
        <v>1.6719999999999999</v>
      </c>
      <c r="C45" s="1">
        <v>4.1360000000000001</v>
      </c>
      <c r="D45" s="1">
        <v>1.7410000000000001</v>
      </c>
      <c r="E45" s="1">
        <v>2.35</v>
      </c>
    </row>
    <row r="46" spans="1:5" ht="15.75" customHeight="1" x14ac:dyDescent="0.2">
      <c r="A46" s="1">
        <v>10.66</v>
      </c>
      <c r="B46" s="1">
        <v>4.6500000000000004</v>
      </c>
      <c r="C46" s="1">
        <v>2.6949999999999998</v>
      </c>
      <c r="D46" s="1">
        <v>0.72899999999999998</v>
      </c>
      <c r="E46" s="1">
        <v>0</v>
      </c>
    </row>
    <row r="47" spans="1:5" ht="16" x14ac:dyDescent="0.2">
      <c r="A47" s="1">
        <v>1.9590000000000001</v>
      </c>
      <c r="B47" s="1">
        <v>5.6820000000000004</v>
      </c>
      <c r="C47" s="1">
        <v>0</v>
      </c>
      <c r="D47" s="1">
        <v>2.448</v>
      </c>
      <c r="E47" s="1">
        <v>1.4259999999999999</v>
      </c>
    </row>
    <row r="48" spans="1:5" ht="16" x14ac:dyDescent="0.2">
      <c r="A48" s="1">
        <v>7.1779999999999999</v>
      </c>
      <c r="B48" s="1">
        <v>4.9189999999999996</v>
      </c>
      <c r="C48" s="1">
        <v>1.917</v>
      </c>
      <c r="D48" s="1">
        <v>0</v>
      </c>
      <c r="E48" s="1">
        <v>0.56699999999999995</v>
      </c>
    </row>
    <row r="49" spans="1:5" ht="16" x14ac:dyDescent="0.2">
      <c r="A49" s="1">
        <v>3.5920000000000001</v>
      </c>
      <c r="B49" s="1">
        <v>1.6020000000000001</v>
      </c>
      <c r="C49" s="1">
        <v>0.219</v>
      </c>
      <c r="D49" s="1">
        <v>1.419</v>
      </c>
      <c r="E49" s="1">
        <v>8.1890000000000001</v>
      </c>
    </row>
    <row r="50" spans="1:5" ht="16" x14ac:dyDescent="0.2">
      <c r="A50" s="1">
        <v>16.309999999999999</v>
      </c>
      <c r="B50" s="1">
        <v>0</v>
      </c>
      <c r="C50" s="1">
        <v>0</v>
      </c>
      <c r="D50" s="1">
        <v>9.4920000000000009</v>
      </c>
      <c r="E50" s="1">
        <v>3.98</v>
      </c>
    </row>
    <row r="51" spans="1:5" ht="16" x14ac:dyDescent="0.2">
      <c r="A51" s="1">
        <v>11.954000000000001</v>
      </c>
      <c r="B51" s="1">
        <v>5.7270000000000003</v>
      </c>
      <c r="C51" s="1">
        <v>2.024</v>
      </c>
      <c r="D51" s="1">
        <v>2.1909999999999998</v>
      </c>
      <c r="E51" s="1">
        <v>2.375</v>
      </c>
    </row>
    <row r="52" spans="1:5" ht="16" x14ac:dyDescent="0.2">
      <c r="A52" s="1">
        <v>17.411999999999999</v>
      </c>
      <c r="B52" s="1">
        <v>15.609</v>
      </c>
      <c r="C52" s="1">
        <v>3.895</v>
      </c>
      <c r="D52" s="1">
        <v>10.627000000000001</v>
      </c>
      <c r="E52" s="1">
        <v>3.7530000000000001</v>
      </c>
    </row>
    <row r="53" spans="1:5" ht="16" x14ac:dyDescent="0.2">
      <c r="A53" s="1">
        <v>7.7919999999999998</v>
      </c>
      <c r="B53" s="1">
        <v>12.295999999999999</v>
      </c>
      <c r="C53" s="1">
        <v>4.8719999999999999</v>
      </c>
      <c r="D53" s="1">
        <v>1.8140000000000001</v>
      </c>
      <c r="E53" s="1">
        <v>2.8809999999999998</v>
      </c>
    </row>
    <row r="54" spans="1:5" ht="16" x14ac:dyDescent="0.2">
      <c r="A54" s="1">
        <v>9.6769999999999996</v>
      </c>
      <c r="B54" s="1">
        <v>9.7159999999999993</v>
      </c>
      <c r="C54" s="1">
        <v>1.4</v>
      </c>
      <c r="D54" s="1">
        <v>11.85</v>
      </c>
      <c r="E54" s="1">
        <v>9.8149999999999995</v>
      </c>
    </row>
    <row r="55" spans="1:5" ht="16" x14ac:dyDescent="0.2">
      <c r="A55" s="1">
        <v>3.9830000000000001</v>
      </c>
      <c r="B55" s="1">
        <v>1.702</v>
      </c>
      <c r="C55" s="1">
        <v>3.6070000000000002</v>
      </c>
      <c r="D55" s="1">
        <v>1.288</v>
      </c>
      <c r="E55" s="1">
        <v>1.877</v>
      </c>
    </row>
    <row r="56" spans="1:5" ht="16" x14ac:dyDescent="0.2">
      <c r="A56" s="1">
        <v>1.296</v>
      </c>
      <c r="B56" s="1">
        <v>0</v>
      </c>
      <c r="C56" s="1">
        <v>0</v>
      </c>
      <c r="D56" s="1">
        <v>3.1070000000000002</v>
      </c>
      <c r="E56" s="1">
        <v>2.0459999999999998</v>
      </c>
    </row>
    <row r="57" spans="1:5" ht="16" x14ac:dyDescent="0.2">
      <c r="A57" s="1">
        <v>5.9779999999999998</v>
      </c>
      <c r="B57" s="1">
        <v>0</v>
      </c>
      <c r="C57" s="1">
        <v>1.302</v>
      </c>
      <c r="D57" s="1">
        <v>0.98199999999999998</v>
      </c>
      <c r="E57" s="1">
        <v>2.0630000000000002</v>
      </c>
    </row>
    <row r="58" spans="1:5" ht="16" x14ac:dyDescent="0.2">
      <c r="A58" s="1">
        <v>4.5949999999999998</v>
      </c>
      <c r="B58" s="1">
        <v>1.0620000000000001</v>
      </c>
      <c r="C58" s="1">
        <v>0.45500000000000002</v>
      </c>
      <c r="D58" s="1">
        <v>0.65</v>
      </c>
      <c r="E58" s="1">
        <v>2.403</v>
      </c>
    </row>
    <row r="59" spans="1:5" ht="16" x14ac:dyDescent="0.2">
      <c r="A59" s="1">
        <v>9.75</v>
      </c>
      <c r="B59" s="1">
        <v>8.1959999999999997</v>
      </c>
      <c r="C59" s="1">
        <v>1.742</v>
      </c>
      <c r="D59" s="1">
        <v>4.4729999999999999</v>
      </c>
      <c r="E59" s="1">
        <v>14.117000000000001</v>
      </c>
    </row>
    <row r="60" spans="1:5" ht="16" x14ac:dyDescent="0.2">
      <c r="A60" s="1">
        <v>1.0980000000000001</v>
      </c>
      <c r="B60" s="1">
        <v>0.79</v>
      </c>
      <c r="C60" s="1">
        <v>0</v>
      </c>
      <c r="D60" s="1">
        <v>0</v>
      </c>
      <c r="E60" s="1">
        <v>0.81699999999999995</v>
      </c>
    </row>
    <row r="61" spans="1:5" ht="16" x14ac:dyDescent="0.2">
      <c r="A61" s="1">
        <v>3.4540000000000002</v>
      </c>
      <c r="B61" s="1">
        <v>2.4369999999999998</v>
      </c>
      <c r="C61" s="1">
        <v>2.6989999999999998</v>
      </c>
      <c r="D61" s="1">
        <v>9.8309999999999995</v>
      </c>
      <c r="E61" s="1">
        <v>0</v>
      </c>
    </row>
    <row r="62" spans="1:5" ht="16" x14ac:dyDescent="0.2">
      <c r="A62" s="1">
        <v>4.7359999999999998</v>
      </c>
      <c r="B62" s="1">
        <v>1.88</v>
      </c>
      <c r="C62" s="1">
        <v>1.2290000000000001</v>
      </c>
      <c r="D62" s="1">
        <v>3.5470000000000002</v>
      </c>
      <c r="E62" s="1">
        <v>0</v>
      </c>
    </row>
    <row r="63" spans="1:5" ht="16" x14ac:dyDescent="0.2">
      <c r="A63" s="1">
        <v>8.9559999999999995</v>
      </c>
      <c r="B63" s="1">
        <v>2.4129999999999998</v>
      </c>
      <c r="C63" s="1">
        <v>3.266</v>
      </c>
      <c r="D63" s="1">
        <v>0</v>
      </c>
      <c r="E63" s="1">
        <v>1.823</v>
      </c>
    </row>
    <row r="64" spans="1:5" ht="16" x14ac:dyDescent="0.2">
      <c r="A64" s="1">
        <v>7.883</v>
      </c>
      <c r="B64" s="1">
        <v>5.5590000000000002</v>
      </c>
      <c r="C64" s="1">
        <v>1.5269999999999999</v>
      </c>
      <c r="D64" s="1">
        <v>6.1120000000000001</v>
      </c>
      <c r="E64" s="1">
        <v>10.856999999999999</v>
      </c>
    </row>
    <row r="65" spans="1:5" ht="16" x14ac:dyDescent="0.2">
      <c r="A65" s="1">
        <v>4.3949999999999996</v>
      </c>
      <c r="B65" s="1">
        <v>1.8859999999999999</v>
      </c>
      <c r="C65" s="1">
        <v>3.0209999999999999</v>
      </c>
      <c r="D65" s="1">
        <v>2.161</v>
      </c>
      <c r="E65" s="1">
        <v>4.0830000000000002</v>
      </c>
    </row>
    <row r="66" spans="1:5" ht="16" x14ac:dyDescent="0.2">
      <c r="A66" s="1">
        <v>3.7440000000000002</v>
      </c>
      <c r="B66" s="1">
        <v>1.2470000000000001</v>
      </c>
      <c r="C66" s="1">
        <v>3.6230000000000002</v>
      </c>
      <c r="D66" s="1">
        <v>5.6420000000000003</v>
      </c>
      <c r="E66" s="1">
        <v>1.627</v>
      </c>
    </row>
    <row r="67" spans="1:5" ht="16" x14ac:dyDescent="0.2">
      <c r="A67" s="1">
        <v>4.835</v>
      </c>
      <c r="B67" s="1">
        <v>0</v>
      </c>
      <c r="C67" s="1">
        <v>0</v>
      </c>
      <c r="D67" s="1">
        <v>2.4009999999999998</v>
      </c>
      <c r="E67" s="1">
        <v>4.6050000000000004</v>
      </c>
    </row>
    <row r="68" spans="1:5" ht="16" x14ac:dyDescent="0.2">
      <c r="A68" s="1">
        <v>11.757</v>
      </c>
      <c r="B68" s="1">
        <v>6.0060000000000002</v>
      </c>
      <c r="C68" s="1">
        <v>3.2890000000000001</v>
      </c>
      <c r="D68" s="1">
        <v>4.7389999999999999</v>
      </c>
      <c r="E68" s="1">
        <v>1.3660000000000001</v>
      </c>
    </row>
    <row r="69" spans="1:5" ht="16" x14ac:dyDescent="0.2">
      <c r="A69" s="1">
        <v>13.898999999999999</v>
      </c>
      <c r="B69" s="1">
        <v>3.222</v>
      </c>
      <c r="C69" s="1">
        <v>0</v>
      </c>
      <c r="D69" s="1">
        <v>0</v>
      </c>
      <c r="E69" s="1">
        <v>1.119</v>
      </c>
    </row>
    <row r="70" spans="1:5" ht="16" x14ac:dyDescent="0.2">
      <c r="A70" s="1">
        <v>4.1150000000000002</v>
      </c>
      <c r="B70" s="1">
        <v>0.98499999999999999</v>
      </c>
      <c r="C70" s="1">
        <v>0.20300000000000001</v>
      </c>
      <c r="D70" s="1">
        <v>1.8420000000000001</v>
      </c>
      <c r="E70" s="1">
        <v>2.0680000000000001</v>
      </c>
    </row>
    <row r="71" spans="1:5" ht="16" x14ac:dyDescent="0.2">
      <c r="A71" s="1">
        <v>7.117</v>
      </c>
      <c r="B71" s="1">
        <v>4.282</v>
      </c>
      <c r="C71" s="1">
        <v>4.6479999999999997</v>
      </c>
      <c r="D71" s="1">
        <v>0.307</v>
      </c>
      <c r="E71" s="1">
        <v>1.9790000000000001</v>
      </c>
    </row>
    <row r="72" spans="1:5" ht="16" x14ac:dyDescent="0.2">
      <c r="A72" s="1">
        <v>0.60699999999999998</v>
      </c>
      <c r="B72" s="1">
        <v>1.0620000000000001</v>
      </c>
      <c r="C72" s="1">
        <v>6.2030000000000003</v>
      </c>
      <c r="D72" s="1">
        <v>1.3620000000000001</v>
      </c>
      <c r="E72" s="1">
        <v>1.524</v>
      </c>
    </row>
    <row r="73" spans="1:5" ht="16" x14ac:dyDescent="0.2">
      <c r="A73" s="1">
        <v>12.157999999999999</v>
      </c>
      <c r="B73" s="1">
        <v>27.457000000000001</v>
      </c>
      <c r="C73" s="1">
        <v>18.617000000000001</v>
      </c>
      <c r="D73" s="1">
        <v>1.956</v>
      </c>
      <c r="E73" s="1">
        <v>7.4489999999999998</v>
      </c>
    </row>
    <row r="74" spans="1:5" ht="16" x14ac:dyDescent="0.2">
      <c r="A74" s="1">
        <v>2.9220000000000002</v>
      </c>
      <c r="B74" s="1">
        <v>0.84499999999999997</v>
      </c>
      <c r="C74" s="1">
        <v>2.3540000000000001</v>
      </c>
      <c r="D74" s="1">
        <v>1.8919999999999999</v>
      </c>
      <c r="E74" s="1">
        <v>5.82</v>
      </c>
    </row>
    <row r="75" spans="1:5" ht="16" x14ac:dyDescent="0.2">
      <c r="A75" s="1">
        <v>11.77</v>
      </c>
      <c r="B75" s="1">
        <v>14.292</v>
      </c>
      <c r="C75" s="1">
        <v>20.462</v>
      </c>
      <c r="D75" s="1">
        <v>6.0190000000000001</v>
      </c>
      <c r="E75" s="1">
        <v>3.6779999999999999</v>
      </c>
    </row>
    <row r="76" spans="1:5" ht="16" x14ac:dyDescent="0.2">
      <c r="A76" s="1">
        <v>8.1679999999999993</v>
      </c>
      <c r="B76" s="1">
        <v>0.65300000000000002</v>
      </c>
      <c r="C76" s="1">
        <v>0</v>
      </c>
      <c r="D76" s="1">
        <v>12.956</v>
      </c>
      <c r="E76" s="1">
        <v>0</v>
      </c>
    </row>
    <row r="77" spans="1:5" ht="16" x14ac:dyDescent="0.2">
      <c r="A77" s="1">
        <v>26.158999999999999</v>
      </c>
      <c r="B77" s="1">
        <v>15.21</v>
      </c>
      <c r="C77" s="1">
        <v>13.997</v>
      </c>
      <c r="D77" s="1">
        <v>0</v>
      </c>
      <c r="E77" s="1">
        <v>0.505</v>
      </c>
    </row>
    <row r="78" spans="1:5" ht="16" x14ac:dyDescent="0.2">
      <c r="A78" s="1">
        <v>3.8679999999999999</v>
      </c>
      <c r="B78" s="1">
        <v>0</v>
      </c>
      <c r="C78" s="1">
        <v>0</v>
      </c>
      <c r="D78" s="1">
        <v>17.917000000000002</v>
      </c>
      <c r="E78" s="1">
        <v>12.265000000000001</v>
      </c>
    </row>
    <row r="79" spans="1:5" ht="16" x14ac:dyDescent="0.2">
      <c r="A79" s="1">
        <v>3.1339999999999999</v>
      </c>
      <c r="B79" s="1">
        <v>4.734</v>
      </c>
      <c r="C79" s="1">
        <v>1.0189999999999999</v>
      </c>
      <c r="D79" s="1">
        <v>0</v>
      </c>
      <c r="E79" s="1">
        <v>2.0299999999999998</v>
      </c>
    </row>
    <row r="80" spans="1:5" ht="16" x14ac:dyDescent="0.2">
      <c r="A80" s="1">
        <v>14.02</v>
      </c>
      <c r="B80" s="1">
        <v>4.7889999999999997</v>
      </c>
      <c r="C80" s="1">
        <v>0</v>
      </c>
      <c r="D80" s="1">
        <v>5.92</v>
      </c>
      <c r="E80" s="1">
        <v>4.3390000000000004</v>
      </c>
    </row>
    <row r="81" spans="1:5" ht="16" x14ac:dyDescent="0.2">
      <c r="A81" s="1">
        <v>9.7070000000000007</v>
      </c>
      <c r="B81" s="1">
        <v>10.553000000000001</v>
      </c>
      <c r="C81" s="1">
        <v>0</v>
      </c>
      <c r="D81" s="1">
        <v>2.375</v>
      </c>
      <c r="E81" s="1">
        <v>0.77700000000000002</v>
      </c>
    </row>
    <row r="82" spans="1:5" ht="16" x14ac:dyDescent="0.2">
      <c r="A82" s="1">
        <v>4.1280000000000001</v>
      </c>
      <c r="B82" s="1">
        <v>0.69099999999999995</v>
      </c>
      <c r="C82" s="1">
        <v>0</v>
      </c>
      <c r="D82" s="1">
        <v>2.7730000000000001</v>
      </c>
      <c r="E82" s="1">
        <v>3.6160000000000001</v>
      </c>
    </row>
    <row r="83" spans="1:5" ht="16" x14ac:dyDescent="0.2">
      <c r="A83" s="1">
        <v>3.6779999999999999</v>
      </c>
      <c r="B83" s="1">
        <v>1.8779999999999999</v>
      </c>
      <c r="C83" s="1">
        <v>0.36099999999999999</v>
      </c>
      <c r="D83" s="1">
        <v>1.5760000000000001</v>
      </c>
      <c r="E83" s="1">
        <v>0</v>
      </c>
    </row>
    <row r="84" spans="1:5" ht="16" x14ac:dyDescent="0.2">
      <c r="A84" s="1">
        <v>4.7409999999999997</v>
      </c>
      <c r="B84" s="1">
        <v>4.5540000000000003</v>
      </c>
      <c r="C84" s="1">
        <v>2.278</v>
      </c>
      <c r="D84" s="1">
        <v>3.67</v>
      </c>
      <c r="E84" s="1">
        <v>8.4030000000000005</v>
      </c>
    </row>
    <row r="85" spans="1:5" ht="16" x14ac:dyDescent="0.2">
      <c r="A85" s="1">
        <v>5.7530000000000001</v>
      </c>
      <c r="B85" s="1">
        <v>4.2910000000000004</v>
      </c>
      <c r="C85" s="1">
        <v>0.92600000000000005</v>
      </c>
      <c r="D85" s="1">
        <v>7.0170000000000003</v>
      </c>
      <c r="E85" s="1">
        <v>2.105</v>
      </c>
    </row>
    <row r="86" spans="1:5" ht="16" x14ac:dyDescent="0.2">
      <c r="A86" s="1">
        <v>13.279</v>
      </c>
      <c r="B86" s="1">
        <v>15.577</v>
      </c>
      <c r="C86" s="1">
        <v>1.2729999999999999</v>
      </c>
      <c r="D86" s="1">
        <v>1.7809999999999999</v>
      </c>
      <c r="E86" s="1">
        <v>1.7290000000000001</v>
      </c>
    </row>
    <row r="87" spans="1:5" ht="16" x14ac:dyDescent="0.2">
      <c r="A87" s="1">
        <v>4.1520000000000001</v>
      </c>
      <c r="B87" s="1">
        <v>6.3929999999999998</v>
      </c>
      <c r="C87" s="1">
        <v>1.58</v>
      </c>
      <c r="D87" s="1">
        <v>0.19</v>
      </c>
      <c r="E87" s="1">
        <v>4.1120000000000001</v>
      </c>
    </row>
    <row r="88" spans="1:5" ht="16" x14ac:dyDescent="0.2">
      <c r="A88" s="1">
        <v>7.2270000000000003</v>
      </c>
      <c r="B88" s="1">
        <v>7.1310000000000002</v>
      </c>
      <c r="C88" s="1">
        <v>5.2119999999999997</v>
      </c>
      <c r="D88" s="1">
        <v>2.5249999999999999</v>
      </c>
      <c r="E88" s="1">
        <v>4.976</v>
      </c>
    </row>
    <row r="89" spans="1:5" ht="16" x14ac:dyDescent="0.2">
      <c r="A89" s="1">
        <v>2.125</v>
      </c>
      <c r="B89" s="1">
        <v>5.3049999999999997</v>
      </c>
      <c r="C89" s="1">
        <v>1.946</v>
      </c>
      <c r="D89" s="1">
        <v>0</v>
      </c>
      <c r="E89" s="1">
        <v>1.2909999999999999</v>
      </c>
    </row>
    <row r="90" spans="1:5" ht="16" x14ac:dyDescent="0.2">
      <c r="A90" s="1">
        <v>5.0039999999999996</v>
      </c>
      <c r="B90" s="1">
        <v>0</v>
      </c>
      <c r="C90" s="1">
        <v>0</v>
      </c>
      <c r="D90" s="1">
        <v>8.2829999999999995</v>
      </c>
      <c r="E90" s="1">
        <v>0</v>
      </c>
    </row>
    <row r="91" spans="1:5" ht="16" x14ac:dyDescent="0.2">
      <c r="A91" s="1">
        <v>3.9830000000000001</v>
      </c>
      <c r="B91" s="1">
        <v>2.9809999999999999</v>
      </c>
      <c r="C91" s="1">
        <v>1.385</v>
      </c>
      <c r="D91" s="1">
        <v>1.8759999999999999</v>
      </c>
      <c r="E91" s="1">
        <v>3.738</v>
      </c>
    </row>
    <row r="92" spans="1:5" ht="16" x14ac:dyDescent="0.2">
      <c r="A92" s="1">
        <v>23.324000000000002</v>
      </c>
      <c r="B92" s="1">
        <v>9.5649999999999995</v>
      </c>
      <c r="C92" s="1">
        <v>4.2560000000000002</v>
      </c>
      <c r="D92" s="1">
        <v>6.1</v>
      </c>
      <c r="E92" s="1">
        <v>1.2649999999999999</v>
      </c>
    </row>
    <row r="93" spans="1:5" ht="16" x14ac:dyDescent="0.2">
      <c r="A93" s="1">
        <v>15.622999999999999</v>
      </c>
      <c r="B93" s="1">
        <v>8.2650000000000006</v>
      </c>
      <c r="C93" s="1">
        <v>2.9079999999999999</v>
      </c>
      <c r="D93" s="1">
        <v>1.9259999999999999</v>
      </c>
      <c r="E93" s="1">
        <v>8.9130000000000003</v>
      </c>
    </row>
    <row r="94" spans="1:5" ht="16" x14ac:dyDescent="0.2">
      <c r="A94" s="1">
        <v>6.7519999999999998</v>
      </c>
      <c r="B94" s="1">
        <v>6.335</v>
      </c>
      <c r="C94" s="1">
        <v>2.657</v>
      </c>
      <c r="D94" s="1">
        <v>3.86</v>
      </c>
      <c r="E94" s="1">
        <v>7.7190000000000003</v>
      </c>
    </row>
    <row r="95" spans="1:5" ht="16" x14ac:dyDescent="0.2">
      <c r="A95" s="1">
        <v>1.6020000000000001</v>
      </c>
      <c r="B95" s="1">
        <v>2.306</v>
      </c>
      <c r="C95" s="1">
        <v>7.4640000000000004</v>
      </c>
      <c r="D95" s="1">
        <v>1.3380000000000001</v>
      </c>
      <c r="E95" s="1">
        <v>2.3580000000000001</v>
      </c>
    </row>
    <row r="96" spans="1:5" ht="16" x14ac:dyDescent="0.2">
      <c r="A96" s="1">
        <v>5.9429999999999996</v>
      </c>
      <c r="B96" s="1">
        <v>0.69</v>
      </c>
      <c r="C96" s="1">
        <v>0.19600000000000001</v>
      </c>
      <c r="D96" s="1">
        <v>1.105</v>
      </c>
      <c r="E96" s="1">
        <v>1.9019999999999999</v>
      </c>
    </row>
    <row r="97" spans="1:5" ht="16" x14ac:dyDescent="0.2">
      <c r="A97" s="1">
        <v>6.62</v>
      </c>
      <c r="B97" s="1">
        <v>0</v>
      </c>
      <c r="C97" s="1">
        <v>0</v>
      </c>
      <c r="D97" s="1">
        <v>1.984</v>
      </c>
      <c r="E97" s="1">
        <v>0.88100000000000001</v>
      </c>
    </row>
    <row r="98" spans="1:5" ht="16" x14ac:dyDescent="0.2">
      <c r="A98" s="1">
        <v>1.56</v>
      </c>
      <c r="B98" s="1">
        <v>0.77600000000000002</v>
      </c>
      <c r="C98" s="1">
        <v>1.331</v>
      </c>
      <c r="D98" s="1">
        <v>1.161</v>
      </c>
      <c r="E98" s="1">
        <v>1.0900000000000001</v>
      </c>
    </row>
    <row r="99" spans="1:5" ht="16" x14ac:dyDescent="0.2">
      <c r="A99" s="1">
        <v>1.99</v>
      </c>
      <c r="B99" s="1">
        <v>4.4349999999999996</v>
      </c>
      <c r="C99" s="1">
        <v>2.35</v>
      </c>
      <c r="D99" s="1">
        <v>0</v>
      </c>
      <c r="E99" s="1">
        <v>4.1180000000000003</v>
      </c>
    </row>
    <row r="100" spans="1:5" ht="16" x14ac:dyDescent="0.2">
      <c r="A100" s="1">
        <v>10.382999999999999</v>
      </c>
      <c r="B100" s="1">
        <v>0.88600000000000001</v>
      </c>
      <c r="C100" s="1">
        <v>0.76</v>
      </c>
      <c r="D100" s="1">
        <v>0.60799999999999998</v>
      </c>
      <c r="E100" s="1">
        <v>2.258</v>
      </c>
    </row>
    <row r="101" spans="1:5" ht="16" x14ac:dyDescent="0.2">
      <c r="A101" s="1">
        <v>1.5640000000000001</v>
      </c>
      <c r="B101" s="1">
        <v>1.548</v>
      </c>
      <c r="C101" s="1">
        <v>1.2450000000000001</v>
      </c>
      <c r="D101" s="1">
        <v>7.8310000000000004</v>
      </c>
      <c r="E101" s="1">
        <v>13.85</v>
      </c>
    </row>
    <row r="102" spans="1:5" ht="16" x14ac:dyDescent="0.2">
      <c r="A102" s="1">
        <v>9.1780000000000008</v>
      </c>
      <c r="B102" s="1">
        <v>0</v>
      </c>
      <c r="C102" s="1">
        <v>0</v>
      </c>
      <c r="D102" s="1">
        <v>2.5720000000000001</v>
      </c>
      <c r="E102" s="1">
        <v>5.077</v>
      </c>
    </row>
    <row r="103" spans="1:5" ht="16" x14ac:dyDescent="0.2">
      <c r="A103" s="1">
        <v>11.531000000000001</v>
      </c>
      <c r="B103" s="1">
        <v>2.8690000000000002</v>
      </c>
      <c r="C103" s="1">
        <v>7.1180000000000003</v>
      </c>
      <c r="D103" s="1">
        <v>5.8330000000000002</v>
      </c>
      <c r="E103" s="1">
        <v>6.14</v>
      </c>
    </row>
    <row r="104" spans="1:5" ht="16" x14ac:dyDescent="0.2">
      <c r="A104" s="1">
        <v>8.1980000000000004</v>
      </c>
      <c r="B104" s="1">
        <v>4.8319999999999999</v>
      </c>
      <c r="C104" s="1">
        <v>0.64</v>
      </c>
      <c r="D104" s="1">
        <v>1.5309999999999999</v>
      </c>
      <c r="E104" s="1">
        <v>6.5609999999999999</v>
      </c>
    </row>
    <row r="105" spans="1:5" ht="16" x14ac:dyDescent="0.2">
      <c r="A105" s="1">
        <v>11.840999999999999</v>
      </c>
      <c r="B105" s="1">
        <v>9.4760000000000009</v>
      </c>
      <c r="C105" s="1">
        <v>3.2330000000000001</v>
      </c>
      <c r="D105" s="1">
        <v>0.60699999999999998</v>
      </c>
      <c r="E105" s="1">
        <v>4.6340000000000003</v>
      </c>
    </row>
    <row r="106" spans="1:5" ht="16" x14ac:dyDescent="0.2">
      <c r="A106" s="1">
        <v>3.2789999999999999</v>
      </c>
      <c r="B106" s="1">
        <v>2.6080000000000001</v>
      </c>
      <c r="C106" s="1">
        <v>1.25</v>
      </c>
      <c r="D106" s="1">
        <v>2.532</v>
      </c>
      <c r="E106" s="1">
        <v>2.6589999999999998</v>
      </c>
    </row>
    <row r="107" spans="1:5" ht="16" x14ac:dyDescent="0.2">
      <c r="A107" s="1">
        <v>0.97699999999999998</v>
      </c>
      <c r="B107" s="1">
        <v>0</v>
      </c>
      <c r="C107" s="1">
        <v>0</v>
      </c>
      <c r="D107" s="1">
        <v>2.2839999999999998</v>
      </c>
      <c r="E107" s="1">
        <v>5.4569999999999999</v>
      </c>
    </row>
    <row r="108" spans="1:5" ht="16" x14ac:dyDescent="0.2">
      <c r="A108" s="1">
        <v>6.1180000000000003</v>
      </c>
      <c r="B108" s="1">
        <v>3.0680000000000001</v>
      </c>
      <c r="C108" s="1">
        <v>3.3450000000000002</v>
      </c>
      <c r="D108" s="1">
        <v>2.73</v>
      </c>
      <c r="E108" s="1">
        <v>5.4059999999999997</v>
      </c>
    </row>
    <row r="109" spans="1:5" ht="16" x14ac:dyDescent="0.2">
      <c r="A109" s="1">
        <v>2.1429999999999998</v>
      </c>
      <c r="B109" s="1">
        <v>0.91900000000000004</v>
      </c>
      <c r="C109" s="1">
        <v>0.46</v>
      </c>
      <c r="D109" s="1">
        <v>0.86599999999999999</v>
      </c>
      <c r="E109" s="1">
        <v>0.99199999999999999</v>
      </c>
    </row>
    <row r="110" spans="1:5" ht="16" x14ac:dyDescent="0.2">
      <c r="A110" s="1">
        <v>5.532</v>
      </c>
      <c r="B110" s="1">
        <v>8.6999999999999993</v>
      </c>
      <c r="C110" s="1">
        <v>0</v>
      </c>
      <c r="D110" s="1">
        <v>4.6136609999999996</v>
      </c>
      <c r="E110" s="1">
        <v>0</v>
      </c>
    </row>
    <row r="111" spans="1:5" ht="16" x14ac:dyDescent="0.2">
      <c r="A111" s="1">
        <v>1.5109999999999999</v>
      </c>
      <c r="B111" s="1">
        <v>0</v>
      </c>
      <c r="C111" s="1">
        <v>0</v>
      </c>
      <c r="D111" s="1">
        <v>16.227</v>
      </c>
      <c r="E111" s="1">
        <v>3.9129999999999998</v>
      </c>
    </row>
    <row r="112" spans="1:5" ht="16" x14ac:dyDescent="0.2">
      <c r="A112" s="1">
        <v>15.773999999999999</v>
      </c>
      <c r="B112" s="1">
        <v>9.3859999999999992</v>
      </c>
      <c r="C112" s="1">
        <v>1.7609999999999999</v>
      </c>
      <c r="D112" s="1">
        <v>4.3879999999999999</v>
      </c>
      <c r="E112" s="1">
        <v>3.6579999999999999</v>
      </c>
    </row>
    <row r="113" spans="1:5" ht="16" x14ac:dyDescent="0.2">
      <c r="A113" s="1">
        <v>2.83</v>
      </c>
      <c r="B113" s="1">
        <v>8.98</v>
      </c>
      <c r="C113" s="1">
        <v>0</v>
      </c>
      <c r="D113" s="1">
        <v>0.995</v>
      </c>
      <c r="E113" s="1">
        <v>3.4289999999999998</v>
      </c>
    </row>
    <row r="114" spans="1:5" ht="16" x14ac:dyDescent="0.2">
      <c r="A114" s="1">
        <v>22.427</v>
      </c>
      <c r="B114" s="1">
        <v>21.289000000000001</v>
      </c>
      <c r="C114" s="1">
        <v>18.053999999999998</v>
      </c>
      <c r="D114" s="1">
        <v>2.327</v>
      </c>
      <c r="E114" s="1">
        <v>5.3140000000000001</v>
      </c>
    </row>
    <row r="115" spans="1:5" ht="16" x14ac:dyDescent="0.2">
      <c r="A115" s="1">
        <v>4.2720000000000002</v>
      </c>
      <c r="B115" s="1">
        <v>0</v>
      </c>
      <c r="C115" s="1">
        <v>0</v>
      </c>
      <c r="D115" s="3">
        <v>4.6849999999999996</v>
      </c>
      <c r="E115" s="3">
        <v>7.8840000000000003</v>
      </c>
    </row>
    <row r="116" spans="1:5" ht="16" x14ac:dyDescent="0.2">
      <c r="A116" s="1">
        <v>8.8970000000000002</v>
      </c>
      <c r="B116" s="1">
        <v>5.4989999999999997</v>
      </c>
      <c r="C116" s="1">
        <v>0.79</v>
      </c>
      <c r="D116" s="3">
        <v>13.666</v>
      </c>
      <c r="E116" s="3">
        <v>7.0659999999999998</v>
      </c>
    </row>
    <row r="117" spans="1:5" ht="16" x14ac:dyDescent="0.2">
      <c r="A117" s="1">
        <v>16.431000000000001</v>
      </c>
      <c r="B117" s="1">
        <v>7.7789999999999999</v>
      </c>
      <c r="C117" s="1">
        <v>16.024999999999999</v>
      </c>
      <c r="D117" s="3">
        <v>0</v>
      </c>
      <c r="E117" s="3">
        <v>0.64400000000000002</v>
      </c>
    </row>
    <row r="118" spans="1:5" ht="16" x14ac:dyDescent="0.2">
      <c r="A118" s="1">
        <v>6.5419999999999998</v>
      </c>
      <c r="B118" s="1">
        <v>0</v>
      </c>
      <c r="C118" s="1">
        <v>2.5209999999999999</v>
      </c>
      <c r="D118" s="3">
        <v>7.62</v>
      </c>
      <c r="E118" s="3">
        <v>22.655000000000001</v>
      </c>
    </row>
    <row r="119" spans="1:5" ht="16" x14ac:dyDescent="0.2">
      <c r="A119" s="1">
        <v>15.762</v>
      </c>
      <c r="B119" s="1">
        <v>17.027999999999999</v>
      </c>
      <c r="C119" s="1">
        <v>6.258</v>
      </c>
      <c r="D119" s="3">
        <v>2.7890000000000001</v>
      </c>
      <c r="E119" s="3">
        <v>0</v>
      </c>
    </row>
    <row r="120" spans="1:5" ht="16" x14ac:dyDescent="0.2">
      <c r="A120" s="1">
        <v>7.99</v>
      </c>
      <c r="B120" s="1">
        <v>0.21299999999999999</v>
      </c>
      <c r="C120" s="1">
        <v>3.589</v>
      </c>
      <c r="D120" s="3">
        <v>1.9550000000000001</v>
      </c>
      <c r="E120" s="3">
        <v>6.6379999999999999</v>
      </c>
    </row>
    <row r="121" spans="1:5" ht="16" x14ac:dyDescent="0.2">
      <c r="A121" s="1">
        <v>5.8319999999999999</v>
      </c>
      <c r="B121" s="1">
        <v>4.9870000000000001</v>
      </c>
      <c r="C121" s="1">
        <v>4.41</v>
      </c>
      <c r="D121" s="3">
        <v>3.044</v>
      </c>
      <c r="E121" s="3">
        <v>17.59</v>
      </c>
    </row>
    <row r="122" spans="1:5" ht="16" x14ac:dyDescent="0.2">
      <c r="A122" s="1">
        <v>13.487</v>
      </c>
      <c r="B122" s="1">
        <v>0</v>
      </c>
      <c r="C122" s="1">
        <v>2.7639999999999998</v>
      </c>
      <c r="D122" s="3">
        <v>8.8789999999999996</v>
      </c>
      <c r="E122" s="3">
        <v>2.6949999999999998</v>
      </c>
    </row>
    <row r="123" spans="1:5" ht="16" x14ac:dyDescent="0.2">
      <c r="A123" s="1">
        <v>4.62</v>
      </c>
      <c r="B123" s="1">
        <v>5.0579999999999998</v>
      </c>
      <c r="C123" s="1">
        <v>6.149</v>
      </c>
      <c r="D123" s="3">
        <v>1.2769999999999999</v>
      </c>
      <c r="E123" s="3">
        <v>0.57899999999999996</v>
      </c>
    </row>
    <row r="124" spans="1:5" ht="16" x14ac:dyDescent="0.2">
      <c r="D124" s="1"/>
      <c r="E124" s="1"/>
    </row>
    <row r="125" spans="1:5" ht="16" x14ac:dyDescent="0.2">
      <c r="D125" s="1"/>
      <c r="E1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specificorders</vt:lpstr>
      <vt:lpstr>emotionalpairings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Alice Wang</cp:lastModifiedBy>
  <dcterms:modified xsi:type="dcterms:W3CDTF">2026-03-22T04:05:57Z</dcterms:modified>
</cp:coreProperties>
</file>